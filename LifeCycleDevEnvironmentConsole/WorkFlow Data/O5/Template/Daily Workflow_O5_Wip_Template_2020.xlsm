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O5\Template\"/>
    </mc:Choice>
  </mc:AlternateContent>
  <xr:revisionPtr revIDLastSave="0" documentId="13_ncr:1_{123F2799-09C7-4446-BC6E-D40C0E5DC9D3}" xr6:coauthVersionLast="44" xr6:coauthVersionMax="44" xr10:uidLastSave="{00000000-0000-0000-0000-000000000000}"/>
  <bookViews>
    <workbookView xWindow="-28920" yWindow="-120" windowWidth="29040" windowHeight="15840" firstSheet="1" activeTab="5" xr2:uid="{00000000-000D-0000-FFFF-FFFF00000000}"/>
  </bookViews>
  <sheets>
    <sheet name="Info" sheetId="9" state="hidden" r:id="rId1"/>
    <sheet name="Daily Dash" sheetId="1" r:id="rId2"/>
    <sheet name="Details-Products" sheetId="3" r:id="rId3"/>
    <sheet name="DM_Data" sheetId="6" r:id="rId4"/>
    <sheet name="Ttl_Inv" sheetId="7" r:id="rId5"/>
    <sheet name="UPCS" sheetId="4" r:id="rId6"/>
    <sheet name="NOS Breakdown Chart" sheetId="2" r:id="rId7"/>
    <sheet name="NOS Receipts" sheetId="10" r:id="rId8"/>
  </sheets>
  <definedNames>
    <definedName name="_xlnm._FilterDatabase" localSheetId="2" hidden="1">'Details-Products'!$A$7:$DT$7</definedName>
    <definedName name="_xlnm._FilterDatabase" localSheetId="3" hidden="1">DM_Data!$CD$6:$CD$60179</definedName>
    <definedName name="_xlnm._FilterDatabase" localSheetId="5" hidden="1">UPCS!$A$2:$AQ$2</definedName>
    <definedName name="_xlnm.Print_Area" localSheetId="1">'Daily Dash'!$D$1:$BI$25</definedName>
    <definedName name="_xlnm.Print_Area" localSheetId="6">'NOS Breakdown Chart'!$A$1:$N$26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J3" i="3" l="1"/>
  <c r="BK3" i="3"/>
  <c r="CL3" i="3"/>
  <c r="CN3" i="3"/>
  <c r="BN3" i="3"/>
  <c r="BF24" i="1" l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S24" i="1"/>
  <c r="M24" i="1"/>
  <c r="L24" i="1"/>
  <c r="K24" i="1"/>
  <c r="J24" i="1"/>
  <c r="I24" i="1"/>
  <c r="H24" i="1"/>
  <c r="G24" i="1"/>
  <c r="F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S23" i="1"/>
  <c r="M23" i="1"/>
  <c r="L23" i="1"/>
  <c r="K23" i="1"/>
  <c r="J23" i="1"/>
  <c r="I23" i="1"/>
  <c r="H23" i="1"/>
  <c r="G23" i="1"/>
  <c r="F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S22" i="1"/>
  <c r="M22" i="1"/>
  <c r="L22" i="1"/>
  <c r="K22" i="1"/>
  <c r="J22" i="1"/>
  <c r="I22" i="1"/>
  <c r="H22" i="1"/>
  <c r="G22" i="1"/>
  <c r="F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S21" i="1"/>
  <c r="M21" i="1"/>
  <c r="L21" i="1"/>
  <c r="K21" i="1"/>
  <c r="J21" i="1"/>
  <c r="I21" i="1"/>
  <c r="H21" i="1"/>
  <c r="G21" i="1"/>
  <c r="F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S20" i="1"/>
  <c r="M20" i="1"/>
  <c r="L20" i="1"/>
  <c r="K20" i="1"/>
  <c r="J20" i="1"/>
  <c r="I20" i="1"/>
  <c r="H20" i="1"/>
  <c r="G20" i="1"/>
  <c r="F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S19" i="1"/>
  <c r="M19" i="1"/>
  <c r="L19" i="1"/>
  <c r="K19" i="1"/>
  <c r="J19" i="1"/>
  <c r="I19" i="1"/>
  <c r="H19" i="1"/>
  <c r="G19" i="1"/>
  <c r="F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S18" i="1"/>
  <c r="M18" i="1"/>
  <c r="L18" i="1"/>
  <c r="K18" i="1"/>
  <c r="J18" i="1"/>
  <c r="I18" i="1"/>
  <c r="H18" i="1"/>
  <c r="G18" i="1"/>
  <c r="F18" i="1"/>
  <c r="E18" i="1"/>
  <c r="E23" i="1" s="1"/>
  <c r="W23" i="1" s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S17" i="1"/>
  <c r="M17" i="1"/>
  <c r="L17" i="1"/>
  <c r="K17" i="1"/>
  <c r="J17" i="1"/>
  <c r="I17" i="1"/>
  <c r="H17" i="1"/>
  <c r="G17" i="1"/>
  <c r="F17" i="1"/>
  <c r="E17" i="1"/>
  <c r="E22" i="1" s="1"/>
  <c r="W22" i="1" s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S16" i="1"/>
  <c r="M16" i="1"/>
  <c r="L16" i="1"/>
  <c r="K16" i="1"/>
  <c r="J16" i="1"/>
  <c r="I16" i="1"/>
  <c r="H16" i="1"/>
  <c r="G16" i="1"/>
  <c r="F16" i="1"/>
  <c r="E16" i="1"/>
  <c r="E21" i="1" s="1"/>
  <c r="W21" i="1" s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S15" i="1"/>
  <c r="M15" i="1"/>
  <c r="L15" i="1"/>
  <c r="K15" i="1"/>
  <c r="J15" i="1"/>
  <c r="Y15" i="1" s="1"/>
  <c r="I15" i="1"/>
  <c r="H15" i="1"/>
  <c r="G15" i="1"/>
  <c r="F15" i="1"/>
  <c r="E15" i="1"/>
  <c r="E20" i="1" s="1"/>
  <c r="W20" i="1" s="1"/>
  <c r="BF14" i="1"/>
  <c r="BE14" i="1"/>
  <c r="BE25" i="1" s="1"/>
  <c r="BD14" i="1"/>
  <c r="BC14" i="1"/>
  <c r="BB14" i="1"/>
  <c r="BB25" i="1" s="1"/>
  <c r="BA14" i="1"/>
  <c r="BA25" i="1" s="1"/>
  <c r="AZ14" i="1"/>
  <c r="AY14" i="1"/>
  <c r="AX14" i="1"/>
  <c r="AW14" i="1"/>
  <c r="AW25" i="1" s="1"/>
  <c r="AV14" i="1"/>
  <c r="AV25" i="1" s="1"/>
  <c r="AU14" i="1"/>
  <c r="AU25" i="1" s="1"/>
  <c r="AT14" i="1"/>
  <c r="AT25" i="1" s="1"/>
  <c r="AS14" i="1"/>
  <c r="AS25" i="1" s="1"/>
  <c r="AR14" i="1"/>
  <c r="AR25" i="1" s="1"/>
  <c r="AQ14" i="1"/>
  <c r="AP14" i="1"/>
  <c r="AP25" i="1" s="1"/>
  <c r="AO14" i="1"/>
  <c r="AO25" i="1" s="1"/>
  <c r="AK14" i="1"/>
  <c r="AK25" i="1" s="1"/>
  <c r="AJ14" i="1"/>
  <c r="AJ25" i="1" s="1"/>
  <c r="AI14" i="1"/>
  <c r="AI25" i="1" s="1"/>
  <c r="AH14" i="1"/>
  <c r="AH25" i="1" s="1"/>
  <c r="AG14" i="1"/>
  <c r="AG25" i="1" s="1"/>
  <c r="AF14" i="1"/>
  <c r="AE14" i="1"/>
  <c r="AD14" i="1"/>
  <c r="AD25" i="1" s="1"/>
  <c r="AC14" i="1"/>
  <c r="AC25" i="1" s="1"/>
  <c r="AB14" i="1"/>
  <c r="AB25" i="1" s="1"/>
  <c r="AA14" i="1"/>
  <c r="AA25" i="1" s="1"/>
  <c r="Z14" i="1"/>
  <c r="Z25" i="1" s="1"/>
  <c r="S14" i="1"/>
  <c r="M14" i="1"/>
  <c r="M25" i="1" s="1"/>
  <c r="L14" i="1"/>
  <c r="K14" i="1"/>
  <c r="J14" i="1"/>
  <c r="J25" i="1" s="1"/>
  <c r="I14" i="1"/>
  <c r="I25" i="1" s="1"/>
  <c r="H14" i="1"/>
  <c r="W14" i="1" s="1"/>
  <c r="G14" i="1"/>
  <c r="F14" i="1"/>
  <c r="F25" i="1" s="1"/>
  <c r="E14" i="1"/>
  <c r="E19" i="1" s="1"/>
  <c r="Q14" i="1"/>
  <c r="Q15" i="1"/>
  <c r="T15" i="1"/>
  <c r="AN15" i="1"/>
  <c r="BI15" i="1"/>
  <c r="Q16" i="1"/>
  <c r="T16" i="1" s="1"/>
  <c r="X16" i="1"/>
  <c r="BI16" i="1"/>
  <c r="BG16" i="1"/>
  <c r="Y17" i="1"/>
  <c r="X17" i="1"/>
  <c r="Q17" i="1"/>
  <c r="T17" i="1" s="1"/>
  <c r="AN17" i="1"/>
  <c r="AL17" i="1"/>
  <c r="AM17" i="1"/>
  <c r="BG17" i="1"/>
  <c r="BH17" i="1"/>
  <c r="BI17" i="1"/>
  <c r="Q18" i="1"/>
  <c r="T18" i="1" s="1"/>
  <c r="X18" i="1"/>
  <c r="Y18" i="1"/>
  <c r="AM18" i="1"/>
  <c r="AL18" i="1"/>
  <c r="AN18" i="1"/>
  <c r="BI18" i="1"/>
  <c r="BH18" i="1"/>
  <c r="BG18" i="1"/>
  <c r="Y19" i="1"/>
  <c r="Q19" i="1"/>
  <c r="T19" i="1" s="1"/>
  <c r="X19" i="1"/>
  <c r="AL19" i="1"/>
  <c r="AM19" i="1"/>
  <c r="AN19" i="1"/>
  <c r="BG19" i="1"/>
  <c r="BI19" i="1"/>
  <c r="BH19" i="1"/>
  <c r="X20" i="1"/>
  <c r="Y20" i="1"/>
  <c r="Q20" i="1"/>
  <c r="T20" i="1" s="1"/>
  <c r="AN20" i="1"/>
  <c r="AL20" i="1"/>
  <c r="AM20" i="1"/>
  <c r="BI20" i="1"/>
  <c r="BG20" i="1"/>
  <c r="BH20" i="1"/>
  <c r="X21" i="1"/>
  <c r="Y21" i="1"/>
  <c r="Q21" i="1"/>
  <c r="T21" i="1"/>
  <c r="AM21" i="1"/>
  <c r="AN21" i="1"/>
  <c r="AL21" i="1"/>
  <c r="BH21" i="1"/>
  <c r="BG21" i="1"/>
  <c r="BI21" i="1"/>
  <c r="Y22" i="1"/>
  <c r="X22" i="1"/>
  <c r="Q22" i="1"/>
  <c r="T22" i="1" s="1"/>
  <c r="AL22" i="1"/>
  <c r="AM22" i="1"/>
  <c r="AN22" i="1"/>
  <c r="BG22" i="1"/>
  <c r="BI22" i="1"/>
  <c r="BH22" i="1"/>
  <c r="Y23" i="1"/>
  <c r="X23" i="1"/>
  <c r="Q23" i="1"/>
  <c r="T23" i="1" s="1"/>
  <c r="AL23" i="1"/>
  <c r="AM23" i="1"/>
  <c r="AN23" i="1"/>
  <c r="BH23" i="1"/>
  <c r="BI23" i="1"/>
  <c r="BG23" i="1"/>
  <c r="Y24" i="1"/>
  <c r="Q24" i="1"/>
  <c r="T24" i="1"/>
  <c r="X24" i="1"/>
  <c r="AM24" i="1"/>
  <c r="AF25" i="1"/>
  <c r="AN24" i="1"/>
  <c r="AQ25" i="1"/>
  <c r="BG24" i="1"/>
  <c r="BH24" i="1"/>
  <c r="BI24" i="1"/>
  <c r="Q25" i="1"/>
  <c r="AE25" i="1"/>
  <c r="T14" i="1" l="1"/>
  <c r="Y14" i="1"/>
  <c r="X15" i="1"/>
  <c r="W15" i="1"/>
  <c r="BH15" i="1"/>
  <c r="BH16" i="1"/>
  <c r="W17" i="1"/>
  <c r="W18" i="1"/>
  <c r="BG14" i="1"/>
  <c r="Y16" i="1"/>
  <c r="Y25" i="1" s="1"/>
  <c r="G25" i="1"/>
  <c r="P23" i="1"/>
  <c r="H25" i="1"/>
  <c r="N23" i="1"/>
  <c r="BI14" i="1"/>
  <c r="BI25" i="1" s="1"/>
  <c r="P15" i="1"/>
  <c r="U15" i="1" s="1"/>
  <c r="V15" i="1" s="1"/>
  <c r="AM15" i="1"/>
  <c r="O15" i="1" s="1"/>
  <c r="AL15" i="1"/>
  <c r="AL16" i="1"/>
  <c r="N16" i="1" s="1"/>
  <c r="BD25" i="1"/>
  <c r="AM14" i="1"/>
  <c r="K25" i="1"/>
  <c r="AM16" i="1"/>
  <c r="O16" i="1" s="1"/>
  <c r="O22" i="1"/>
  <c r="AN14" i="1"/>
  <c r="AN25" i="1" s="1"/>
  <c r="BG15" i="1"/>
  <c r="L25" i="1"/>
  <c r="AN16" i="1"/>
  <c r="BF25" i="1"/>
  <c r="O20" i="1"/>
  <c r="W19" i="1"/>
  <c r="E24" i="1"/>
  <c r="E25" i="1" s="1"/>
  <c r="P19" i="1"/>
  <c r="U19" i="1" s="1"/>
  <c r="V19" i="1" s="1"/>
  <c r="W16" i="1"/>
  <c r="BH14" i="1"/>
  <c r="BC25" i="1"/>
  <c r="N21" i="1"/>
  <c r="AL14" i="1"/>
  <c r="X14" i="1"/>
  <c r="X25" i="1" s="1"/>
  <c r="P24" i="1"/>
  <c r="R24" i="1" s="1"/>
  <c r="N22" i="1"/>
  <c r="P21" i="1"/>
  <c r="O19" i="1"/>
  <c r="P17" i="1"/>
  <c r="U23" i="1"/>
  <c r="V23" i="1" s="1"/>
  <c r="R23" i="1"/>
  <c r="O21" i="1"/>
  <c r="O17" i="1"/>
  <c r="O23" i="1"/>
  <c r="N20" i="1"/>
  <c r="N18" i="1"/>
  <c r="N19" i="1"/>
  <c r="P16" i="1"/>
  <c r="P22" i="1"/>
  <c r="P20" i="1"/>
  <c r="P18" i="1"/>
  <c r="O18" i="1"/>
  <c r="N17" i="1"/>
  <c r="AX25" i="1"/>
  <c r="O24" i="1"/>
  <c r="AL24" i="1"/>
  <c r="AZ25" i="1"/>
  <c r="AY25" i="1"/>
  <c r="S25" i="1"/>
  <c r="T25" i="1" s="1"/>
  <c r="P14" i="1" l="1"/>
  <c r="U14" i="1" s="1"/>
  <c r="V14" i="1" s="1"/>
  <c r="N14" i="1"/>
  <c r="R15" i="1"/>
  <c r="U24" i="1"/>
  <c r="V24" i="1" s="1"/>
  <c r="BG25" i="1"/>
  <c r="N15" i="1"/>
  <c r="AL25" i="1"/>
  <c r="AM25" i="1"/>
  <c r="O14" i="1"/>
  <c r="O25" i="1" s="1"/>
  <c r="P25" i="1"/>
  <c r="U25" i="1" s="1"/>
  <c r="V25" i="1" s="1"/>
  <c r="R14" i="1"/>
  <c r="R19" i="1"/>
  <c r="W24" i="1"/>
  <c r="W25" i="1" s="1"/>
  <c r="BH25" i="1"/>
  <c r="U16" i="1"/>
  <c r="V16" i="1" s="1"/>
  <c r="R16" i="1"/>
  <c r="N24" i="1"/>
  <c r="R18" i="1"/>
  <c r="U18" i="1"/>
  <c r="V18" i="1" s="1"/>
  <c r="R17" i="1"/>
  <c r="U17" i="1"/>
  <c r="V17" i="1" s="1"/>
  <c r="R20" i="1"/>
  <c r="U20" i="1"/>
  <c r="V20" i="1" s="1"/>
  <c r="U22" i="1"/>
  <c r="V22" i="1" s="1"/>
  <c r="R22" i="1"/>
  <c r="R21" i="1"/>
  <c r="U21" i="1"/>
  <c r="V21" i="1" s="1"/>
  <c r="N25" i="1" l="1"/>
  <c r="R25" i="1"/>
  <c r="CG3" i="3"/>
  <c r="BH3" i="3" s="1"/>
  <c r="BI3" i="3" s="1"/>
  <c r="CH3" i="3"/>
  <c r="CI3" i="3"/>
  <c r="CJ3" i="3"/>
  <c r="CK3" i="3"/>
  <c r="CM3" i="3"/>
  <c r="A2" i="10" l="1"/>
  <c r="C2" i="10" s="1"/>
  <c r="D2" i="10" l="1"/>
  <c r="AR1" i="4"/>
  <c r="H12" i="2"/>
  <c r="H10" i="2"/>
  <c r="H8" i="2"/>
  <c r="H7" i="2"/>
  <c r="I12" i="2" l="1"/>
  <c r="I11" i="2"/>
  <c r="I10" i="2"/>
  <c r="I9" i="2"/>
  <c r="I8" i="2"/>
  <c r="I7" i="2"/>
  <c r="G12" i="2"/>
  <c r="G10" i="2"/>
  <c r="G8" i="2"/>
  <c r="G7" i="2"/>
  <c r="AS1" i="4"/>
  <c r="F20" i="9" l="1"/>
  <c r="C20" i="9"/>
  <c r="F19" i="9"/>
  <c r="C19" i="9"/>
  <c r="F18" i="9"/>
  <c r="C18" i="9"/>
  <c r="F17" i="9"/>
  <c r="C17" i="9"/>
  <c r="F16" i="9"/>
  <c r="C16" i="9"/>
  <c r="C15" i="9"/>
  <c r="C14" i="9"/>
  <c r="C13" i="9"/>
  <c r="C12" i="9"/>
  <c r="C11" i="9"/>
  <c r="C10" i="9"/>
  <c r="J9" i="9"/>
  <c r="A9" i="9"/>
  <c r="J8" i="9"/>
  <c r="A8" i="9"/>
  <c r="J7" i="9"/>
  <c r="A7" i="9"/>
  <c r="J6" i="9"/>
  <c r="A6" i="9"/>
  <c r="J5" i="9"/>
  <c r="A5" i="9"/>
  <c r="J4" i="9"/>
  <c r="A4" i="9"/>
  <c r="J3" i="9"/>
  <c r="A3" i="9"/>
  <c r="J2" i="9"/>
  <c r="A2" i="9"/>
  <c r="L16" i="2"/>
  <c r="N5" i="1"/>
  <c r="BL3" i="3"/>
  <c r="H13" i="2" l="1"/>
  <c r="G13" i="2" l="1"/>
  <c r="I13" i="2"/>
  <c r="J10" i="2" s="1"/>
  <c r="E10" i="2" l="1"/>
  <c r="K10" i="2" s="1"/>
  <c r="G15" i="2"/>
  <c r="J7" i="2"/>
  <c r="J12" i="2"/>
  <c r="J8" i="2"/>
  <c r="J13" i="2"/>
  <c r="J9" i="2"/>
  <c r="J11" i="2"/>
  <c r="D7" i="2"/>
  <c r="D11" i="2"/>
  <c r="E11" i="2"/>
  <c r="D10" i="2"/>
  <c r="E7" i="2" l="1"/>
  <c r="K7" i="2" s="1"/>
  <c r="D14" i="2"/>
  <c r="K11" i="2"/>
  <c r="E14" i="2"/>
  <c r="K14" i="2" s="1"/>
  <c r="D8" i="2"/>
  <c r="E8" i="2"/>
  <c r="K8" i="2" l="1"/>
  <c r="D9" i="2" l="1"/>
  <c r="D12" i="2"/>
  <c r="B2" i="10"/>
  <c r="E13" i="2"/>
  <c r="D15" i="2" s="1"/>
  <c r="D13" i="2"/>
  <c r="E9" i="2"/>
  <c r="E12" i="2"/>
  <c r="K12" i="2" s="1"/>
  <c r="F9" i="2" l="1"/>
  <c r="F13" i="2"/>
  <c r="K9" i="2"/>
  <c r="F11" i="2"/>
  <c r="F7" i="2"/>
  <c r="F12" i="2"/>
  <c r="F10" i="2"/>
  <c r="F8" i="2"/>
  <c r="K13" i="2" l="1"/>
  <c r="L9" i="2"/>
  <c r="L13" i="2" l="1"/>
  <c r="L10" i="2"/>
  <c r="L8" i="2"/>
  <c r="L7" i="2"/>
  <c r="L11" i="2"/>
  <c r="K15" i="2"/>
  <c r="K21" i="2" s="1"/>
  <c r="L12" i="2"/>
</calcChain>
</file>

<file path=xl/sharedStrings.xml><?xml version="1.0" encoding="utf-8"?>
<sst xmlns="http://schemas.openxmlformats.org/spreadsheetml/2006/main" count="646" uniqueCount="301">
  <si>
    <t xml:space="preserve"> </t>
  </si>
  <si>
    <t>O5 Workflow Summary Chart</t>
  </si>
  <si>
    <t>TOTAL</t>
  </si>
  <si>
    <t>C-Status</t>
  </si>
  <si>
    <t>Sell off</t>
  </si>
  <si>
    <t>Exceptions</t>
  </si>
  <si>
    <t>PRODUCTS</t>
  </si>
  <si>
    <t>ADDITIONAL COLOR/SIZES</t>
  </si>
  <si>
    <t>TOTAL (Products + Additional Color/Sizes)</t>
  </si>
  <si>
    <t>EXCEPTIONS</t>
  </si>
  <si>
    <t>MERCHANTS</t>
  </si>
  <si>
    <t>SAMPLE MANAGEMENT</t>
  </si>
  <si>
    <t>PHOTO STUDIO</t>
  </si>
  <si>
    <t>IMAGE EDIT</t>
  </si>
  <si>
    <t>PRODUCT COPY</t>
  </si>
  <si>
    <t>ITEM SETUP</t>
  </si>
  <si>
    <t>Exception</t>
  </si>
  <si>
    <t>Not Flagged for eCOM</t>
  </si>
  <si>
    <t>Awaiting MAH Admin</t>
  </si>
  <si>
    <t>Awaiting Complete Turn In</t>
  </si>
  <si>
    <t>Awaiting Complete Copy Attributes</t>
  </si>
  <si>
    <t>Not in PIM Workflow</t>
  </si>
  <si>
    <t>Awaiting Raw Image</t>
  </si>
  <si>
    <t>Awaiting Final Image</t>
  </si>
  <si>
    <t>Awaiting Final Copy</t>
  </si>
  <si>
    <t>Rollup Product Workflow</t>
  </si>
  <si>
    <t>Awaiting Item Set Up Attribution and Sign Off</t>
  </si>
  <si>
    <t>Workflow Complete</t>
  </si>
  <si>
    <t>Pending TTL</t>
  </si>
  <si>
    <t>Pending: NOS</t>
  </si>
  <si>
    <t>Group</t>
  </si>
  <si>
    <t>Div</t>
  </si>
  <si>
    <t>Products</t>
  </si>
  <si>
    <t>$</t>
  </si>
  <si>
    <t xml:space="preserve">Products </t>
  </si>
  <si>
    <t>NOS $</t>
  </si>
  <si>
    <t>TTL WH OH</t>
  </si>
  <si>
    <t>NOS %</t>
  </si>
  <si>
    <t>SLA</t>
  </si>
  <si>
    <t>GROUP 46: WOMEN'S</t>
  </si>
  <si>
    <t>GROUP 76: WOMEN'S SELLOFF</t>
  </si>
  <si>
    <t>GROUP 48: MENS</t>
  </si>
  <si>
    <t>GROUP 78: MEN'S SELLOFF</t>
  </si>
  <si>
    <t>GROUP 47: SHOES &amp; HANDBAGS</t>
  </si>
  <si>
    <t>GROUP 77: SHOES &amp; HANDBAGS SELLOFF</t>
  </si>
  <si>
    <t>GROUP 49: ACCESSORIES</t>
  </si>
  <si>
    <t>GROUP 79: ACCESSORIES SELLOFF</t>
  </si>
  <si>
    <t>GROUP 45: CHILDRENS</t>
  </si>
  <si>
    <t>GROUP 75: CHILDRENS SELLOFF</t>
  </si>
  <si>
    <t>GROUP: 44 HOME &amp; BEAUTY</t>
  </si>
  <si>
    <t>Not on Site by Team</t>
  </si>
  <si>
    <t>Team</t>
  </si>
  <si>
    <t>ADDITIONAL COLORS/SIZES</t>
  </si>
  <si>
    <t>#</t>
  </si>
  <si>
    <t>$%</t>
  </si>
  <si>
    <t># UPCs</t>
  </si>
  <si>
    <t># Products</t>
  </si>
  <si>
    <t>Merchants</t>
  </si>
  <si>
    <t>-</t>
  </si>
  <si>
    <t>Sample Management</t>
  </si>
  <si>
    <t>Photo Studio</t>
  </si>
  <si>
    <t>Image Edit</t>
  </si>
  <si>
    <t>Product Copy</t>
  </si>
  <si>
    <t>Item Setup</t>
  </si>
  <si>
    <t>TTL NOS %</t>
  </si>
  <si>
    <t>TTL WH$</t>
  </si>
  <si>
    <t>SaksOff5th.Com Daily Workflow Status: Details (New Products)</t>
  </si>
  <si>
    <t>SLA Details</t>
  </si>
  <si>
    <t>DM_Data</t>
  </si>
  <si>
    <t>Group_ID</t>
  </si>
  <si>
    <t>GROUP_NAME</t>
  </si>
  <si>
    <t>Department_ID</t>
  </si>
  <si>
    <t>DEPARTMENT_NAME</t>
  </si>
  <si>
    <t>Class_ID</t>
  </si>
  <si>
    <t>CLASS_NAME</t>
  </si>
  <si>
    <t>Season_Code</t>
  </si>
  <si>
    <t>BrandID</t>
  </si>
  <si>
    <t>ECOM_BRAND_NAME</t>
  </si>
  <si>
    <t>STRUCT_ASSIGN_MASTER_ATTR_HIER</t>
  </si>
  <si>
    <t>MANUFACTURER_NAME</t>
  </si>
  <si>
    <t>SVS</t>
  </si>
  <si>
    <t>PRODUCT_NO</t>
  </si>
  <si>
    <t>VPN</t>
  </si>
  <si>
    <t>Short_Description</t>
  </si>
  <si>
    <t>MASTER_SVS</t>
  </si>
  <si>
    <t>ROLLUP_REFERENCE</t>
  </si>
  <si>
    <t>ACTIVE_PIM</t>
  </si>
  <si>
    <t>READYFORPROD_PIM</t>
  </si>
  <si>
    <t>Feature_Date</t>
  </si>
  <si>
    <t>NOS_IND</t>
  </si>
  <si>
    <t>NOS_ON_HAND</t>
  </si>
  <si>
    <t>NOS_LAST_RECV_DT</t>
  </si>
  <si>
    <t>NOS_TOTAL_RETAIL</t>
  </si>
  <si>
    <t>NOS_DATE</t>
  </si>
  <si>
    <t>PO_SHIP_DATE</t>
  </si>
  <si>
    <t>PO_Cancel_Date</t>
  </si>
  <si>
    <t>DROPSHIP</t>
  </si>
  <si>
    <t>WH_OO</t>
  </si>
  <si>
    <t>TOTAL_RETAIL_OO</t>
  </si>
  <si>
    <t>Original_Retail_Price</t>
  </si>
  <si>
    <t>Current_Selling_Price</t>
  </si>
  <si>
    <t>NOS_PRICE_STATUS</t>
  </si>
  <si>
    <t>CREATED_ON_PIM</t>
  </si>
  <si>
    <t>PRODUCT_ENTERED_WORKFLOW</t>
  </si>
  <si>
    <t>MAH_TASK_COMPLETE</t>
  </si>
  <si>
    <t>Image_Type</t>
  </si>
  <si>
    <t>Copy_Type</t>
  </si>
  <si>
    <t>Sample_vpi_requested</t>
  </si>
  <si>
    <t>Sample_VPI_Received</t>
  </si>
  <si>
    <t>LIVE_MERCH_REQUESTED</t>
  </si>
  <si>
    <t>LIVE_MERCH_RECEIVED</t>
  </si>
  <si>
    <t>turn_in_date</t>
  </si>
  <si>
    <t>SENT_TO_STUDIO</t>
  </si>
  <si>
    <t>COPY_ATTRIBUTES_TASK_COMPLETE</t>
  </si>
  <si>
    <t>FUR_ATTRIBUTES_TASK_COMPLETE</t>
  </si>
  <si>
    <t>RAW_IMAGE_RECEIVED_DATE</t>
  </si>
  <si>
    <t>FINAL_IMAGE_RECEIVED_DATE</t>
  </si>
  <si>
    <t>final_copy_task_complete</t>
  </si>
  <si>
    <t>FUR_APPROVAL_TASK_COMPLETE</t>
  </si>
  <si>
    <t>ITEM_SET_UP_TASK_COMPLETE</t>
  </si>
  <si>
    <t>FUR_WORKFLOW_COMPLETE</t>
  </si>
  <si>
    <t>Workflow_Type</t>
  </si>
  <si>
    <t>REWORK_STATUS</t>
  </si>
  <si>
    <t>ROLLUP_COMPLETE</t>
  </si>
  <si>
    <t>WORKFLOW_EXCEPTION_TYPE</t>
  </si>
  <si>
    <t>Current_Workflow_Status</t>
  </si>
  <si>
    <t>LIFECYCLE_COMMENTS</t>
  </si>
  <si>
    <t>REVISED_WORKFLOW_STATUS</t>
  </si>
  <si>
    <t xml:space="preserve">Product </t>
  </si>
  <si>
    <t>Not On Site</t>
  </si>
  <si>
    <t>PO/Inventory</t>
  </si>
  <si>
    <t>LifeCycle Information</t>
  </si>
  <si>
    <t xml:space="preserve">Group ID </t>
  </si>
  <si>
    <t>Group Name</t>
  </si>
  <si>
    <t>Dept ID</t>
  </si>
  <si>
    <t>Dept Name</t>
  </si>
  <si>
    <t>Class ID</t>
  </si>
  <si>
    <t>Class Name</t>
  </si>
  <si>
    <t>Season Code</t>
  </si>
  <si>
    <t>Ecom_Brand_Name</t>
  </si>
  <si>
    <t>Structure assignments (Master Attribute Hierarchy)</t>
  </si>
  <si>
    <t>Manufacture Name</t>
  </si>
  <si>
    <t>Global Product No.</t>
  </si>
  <si>
    <t>Style #</t>
  </si>
  <si>
    <t>Short Description</t>
  </si>
  <si>
    <t>Master SVS</t>
  </si>
  <si>
    <t>Roll Up Reference</t>
  </si>
  <si>
    <t>Active_PIM</t>
  </si>
  <si>
    <t>ReadyforProd_PIM</t>
  </si>
  <si>
    <t>Feature Date</t>
  </si>
  <si>
    <t>ON NOS?</t>
  </si>
  <si>
    <t>NOS OH</t>
  </si>
  <si>
    <t>Las Receipt Date</t>
  </si>
  <si>
    <t>NOS TTL $</t>
  </si>
  <si>
    <t>NOS Date</t>
  </si>
  <si>
    <t>PO_Ship_Date (Product)</t>
  </si>
  <si>
    <t>PO_Cancel_Date (Item/Max)</t>
  </si>
  <si>
    <t>Drop Ship_Ind</t>
  </si>
  <si>
    <t>Price_Status</t>
  </si>
  <si>
    <t>PIM_Create Date/Flagged for eCOM</t>
  </si>
  <si>
    <t>Product Entered Workflow</t>
  </si>
  <si>
    <t>M.A.H Task Complete</t>
  </si>
  <si>
    <t>Image Type</t>
  </si>
  <si>
    <t>Copy Type</t>
  </si>
  <si>
    <t>Sample_VPI_Requested (1st)</t>
  </si>
  <si>
    <t>Turn In Date</t>
  </si>
  <si>
    <t>Sent To Studio Date</t>
  </si>
  <si>
    <t>Copy_Attributes_Complete</t>
  </si>
  <si>
    <t>Fur_Attributes_Task_Complete</t>
  </si>
  <si>
    <t>Raw_Image_Received Date</t>
  </si>
  <si>
    <t>Final_Image_Received Date</t>
  </si>
  <si>
    <t>Final_Copy_Complete</t>
  </si>
  <si>
    <t>Fur_Approval_Task_Complete</t>
  </si>
  <si>
    <t>Item_Setup_Complete</t>
  </si>
  <si>
    <t>Fur_Workflow_Complete</t>
  </si>
  <si>
    <t>ReWork_Status</t>
  </si>
  <si>
    <t>Rollup_Complete</t>
  </si>
  <si>
    <t>Workflow Exception Type</t>
  </si>
  <si>
    <t>Current Team</t>
  </si>
  <si>
    <t>SLA: # of Days from Turn In Complete</t>
  </si>
  <si>
    <t>Target Pub Date</t>
  </si>
  <si>
    <t>Beta - T- to Target Pub</t>
  </si>
  <si>
    <t>Beta - Expected WF Complete Date</t>
  </si>
  <si>
    <t>Workflow Aging</t>
  </si>
  <si>
    <t>LifeCycle_Comments</t>
  </si>
  <si>
    <t>Revised Workflow</t>
  </si>
  <si>
    <t>Original Current Workflow</t>
  </si>
  <si>
    <t>Image Check</t>
  </si>
  <si>
    <t>Exceptions/SellOff/C Status</t>
  </si>
  <si>
    <t>Asset Requested</t>
  </si>
  <si>
    <t>Asset Received</t>
  </si>
  <si>
    <t>Turn/Sent to Studio</t>
  </si>
  <si>
    <t>Copy_Attributes/Raw_Image</t>
  </si>
  <si>
    <t>Raw_Image/Copy Complete</t>
  </si>
  <si>
    <t>Final_Image/Final_Copy Complete</t>
  </si>
  <si>
    <t>SLA Field</t>
  </si>
  <si>
    <t>Revised  Current_Workflow_Status</t>
  </si>
  <si>
    <t>awaiting Vendor</t>
  </si>
  <si>
    <t>Division</t>
  </si>
  <si>
    <t>SKU</t>
  </si>
  <si>
    <t>Product_No</t>
  </si>
  <si>
    <t>Global_Product</t>
  </si>
  <si>
    <t>Brand Name</t>
  </si>
  <si>
    <t>Vendor_Style_Num</t>
  </si>
  <si>
    <t>RFS_Merch_Color</t>
  </si>
  <si>
    <t>PIM_Color</t>
  </si>
  <si>
    <t>UPC</t>
  </si>
  <si>
    <t>RFS_Size</t>
  </si>
  <si>
    <t>PIM_Size</t>
  </si>
  <si>
    <t>UPC_OH</t>
  </si>
  <si>
    <t>UPC_OO</t>
  </si>
  <si>
    <t>Store_OH</t>
  </si>
  <si>
    <t>Current Retail_Price</t>
  </si>
  <si>
    <t>Total_Retail_Value</t>
  </si>
  <si>
    <t>UPC_Status</t>
  </si>
  <si>
    <t>Division Name</t>
  </si>
  <si>
    <t>Department</t>
  </si>
  <si>
    <t>Department Name</t>
  </si>
  <si>
    <t>Brand ID</t>
  </si>
  <si>
    <t>Dropship_RFS</t>
  </si>
  <si>
    <t>Dropship_Ind</t>
  </si>
  <si>
    <t>S7_Image</t>
  </si>
  <si>
    <t>Workflow Type (O5)</t>
  </si>
  <si>
    <t>Current Workflow Status (O5)</t>
  </si>
  <si>
    <t>Current Workflow Status Image (O5)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</si>
  <si>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</si>
  <si>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</si>
  <si>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</si>
  <si>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</si>
  <si>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</si>
  <si>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</si>
  <si>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</si>
  <si>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</si>
  <si>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</si>
  <si>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Item Set Up Task Complete</t>
  </si>
  <si>
    <t>Turn In Task Complete</t>
  </si>
  <si>
    <t>MAH Task Complete</t>
  </si>
  <si>
    <t>Fur Attributes Task Complete</t>
  </si>
  <si>
    <t>Fur Workflow Complete</t>
  </si>
  <si>
    <t>OH_TTL</t>
  </si>
  <si>
    <t>WH_OH</t>
  </si>
  <si>
    <t>Studio Sample Received Check Complete</t>
  </si>
  <si>
    <t>Final Copy Task Complete</t>
  </si>
  <si>
    <t>Copy Attributes Task Complete</t>
  </si>
  <si>
    <t>Translation Task Complete</t>
  </si>
  <si>
    <t>Fur Approval Task Complete</t>
  </si>
  <si>
    <t>ID</t>
  </si>
  <si>
    <t>Order</t>
  </si>
  <si>
    <t>If</t>
  </si>
  <si>
    <t>Revised_Workflow_Task</t>
  </si>
  <si>
    <t>Status for Workflow Teams</t>
  </si>
  <si>
    <t>Owner</t>
  </si>
  <si>
    <t>SLA_Column</t>
  </si>
  <si>
    <t>ETA</t>
  </si>
  <si>
    <t>Count in NOS</t>
  </si>
  <si>
    <t>If Raw Image Date field is Null</t>
  </si>
  <si>
    <t>Studio</t>
  </si>
  <si>
    <t>If Raw Image Date field NOT Null</t>
  </si>
  <si>
    <t>Copy</t>
  </si>
  <si>
    <t>Final Image Received=Null</t>
  </si>
  <si>
    <t>Hierarchy</t>
  </si>
  <si>
    <t>PreOrder</t>
  </si>
  <si>
    <t>BackOrderable</t>
  </si>
  <si>
    <t>PO_Cancel_Date (Item/Min)</t>
  </si>
  <si>
    <t>Structure assignments</t>
  </si>
  <si>
    <t>Last Receipt Date</t>
  </si>
  <si>
    <t>VENDOR_COPY_RECEIVED</t>
  </si>
  <si>
    <t>Vendor_Copy_Received</t>
  </si>
  <si>
    <t>Pasted from DM Inactive UPC report</t>
  </si>
  <si>
    <t>LY MONTH AVG %</t>
  </si>
  <si>
    <t>% DIFFERENCE</t>
  </si>
  <si>
    <t>ITEM_WORKFLOW_EXCEPTION_TYPE</t>
  </si>
  <si>
    <t>EXCEPTION_ITEM_COMMENTS</t>
  </si>
  <si>
    <t>TODAY'S DATE</t>
  </si>
  <si>
    <t>NOS RECEIPTS $</t>
  </si>
  <si>
    <t>NOS PRODUCTS</t>
  </si>
  <si>
    <t>**Mondays - look at DM tab manually to pull weekend receipts</t>
  </si>
  <si>
    <t>MatchHeader</t>
  </si>
  <si>
    <t>ConvertBooleanToYesNo</t>
  </si>
  <si>
    <t>ReplaceZero</t>
  </si>
  <si>
    <t>DMM</t>
  </si>
  <si>
    <t>Metrics</t>
  </si>
  <si>
    <t>OH U</t>
  </si>
  <si>
    <t>OH $ @R</t>
  </si>
  <si>
    <t>Count (Super Vendor Style)</t>
  </si>
  <si>
    <t>Total</t>
  </si>
  <si>
    <t>HOME &amp; BEAUTY</t>
  </si>
  <si>
    <t>CHILDRENS</t>
  </si>
  <si>
    <t>WOMEN'S</t>
  </si>
  <si>
    <t>SHOES &amp; HANDBAGS</t>
  </si>
  <si>
    <t>MENS</t>
  </si>
  <si>
    <t>ACCESSORIES</t>
  </si>
  <si>
    <t>CHILDRENS SELLOFF</t>
  </si>
  <si>
    <t>WOMEN'S SELLOFF</t>
  </si>
  <si>
    <t>SHOES &amp; HANDBAGS SELLOFF</t>
  </si>
  <si>
    <t>MEN'S SELLOFF</t>
  </si>
  <si>
    <t>ACCESSORIES SELLOFF</t>
  </si>
  <si>
    <t>SUM</t>
  </si>
  <si>
    <t>ROW_REFERENCE</t>
  </si>
  <si>
    <t>GenerateRowReference</t>
  </si>
  <si>
    <t>Group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</si>
</sst>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F800]dddd\,\ mmmm\ dd\,\ yyyy"/>
    <numFmt numFmtId="166" formatCode="_(* #,##0_);_(* \(#,##0\);_(* &quot;-&quot;??_);_(@_)"/>
    <numFmt numFmtId="167" formatCode="0.0%"/>
    <numFmt numFmtId="168" formatCode="&quot;$&quot;#,##0"/>
    <numFmt numFmtId="169" formatCode="&quot;$&quot;#,##0.00"/>
    <numFmt numFmtId="170" formatCode="_(&quot;$&quot;* #,##0.0_);_(&quot;$&quot;* \(#,##0.0\);_(&quot;$&quot;* &quot;-&quot;??_);_(@_)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Tahoma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16"/>
      <name val="Arial"/>
      <family val="2"/>
    </font>
    <font>
      <b/>
      <sz val="17"/>
      <name val="Arial"/>
      <family val="2"/>
    </font>
    <font>
      <b/>
      <sz val="9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4"/>
      <color theme="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Tahoma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9FDF1"/>
        <bgColor indexed="64"/>
      </patternFill>
    </fill>
    <fill>
      <patternFill patternType="solid">
        <fgColor rgb="FFC5FBDA"/>
        <bgColor indexed="64"/>
      </patternFill>
    </fill>
    <fill>
      <patternFill patternType="solid">
        <fgColor rgb="FFA9F9C7"/>
        <bgColor indexed="64"/>
      </patternFill>
    </fill>
    <fill>
      <patternFill patternType="solid">
        <fgColor rgb="FF57F392"/>
        <bgColor indexed="64"/>
      </patternFill>
    </fill>
    <fill>
      <patternFill patternType="solid">
        <fgColor rgb="FF33F17B"/>
        <bgColor indexed="64"/>
      </patternFill>
    </fill>
    <fill>
      <patternFill patternType="solid">
        <fgColor rgb="FF11E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C057"/>
        <bgColor indexed="64"/>
      </patternFill>
    </fill>
    <fill>
      <patternFill patternType="solid">
        <fgColor rgb="FF008E40"/>
        <bgColor indexed="64"/>
      </patternFill>
    </fill>
    <fill>
      <patternFill patternType="solid">
        <fgColor rgb="FF0074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8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80808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>
      <alignment vertical="top"/>
    </xf>
    <xf numFmtId="0" fontId="16" fillId="0" borderId="0"/>
    <xf numFmtId="0" fontId="16" fillId="0" borderId="0"/>
    <xf numFmtId="0" fontId="1" fillId="0" borderId="0"/>
    <xf numFmtId="0" fontId="1" fillId="0" borderId="0"/>
    <xf numFmtId="44" fontId="16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405">
    <xf numFmtId="0" fontId="0" fillId="0" borderId="0" xfId="0"/>
    <xf numFmtId="0" fontId="5" fillId="3" borderId="0" xfId="0" applyFont="1" applyFill="1"/>
    <xf numFmtId="0" fontId="5" fillId="3" borderId="0" xfId="0" applyFont="1" applyFill="1" applyBorder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0" fillId="3" borderId="0" xfId="0" applyFill="1"/>
    <xf numFmtId="0" fontId="6" fillId="3" borderId="1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164" fontId="5" fillId="3" borderId="0" xfId="0" applyNumberFormat="1" applyFont="1" applyFill="1" applyBorder="1"/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/>
    </xf>
    <xf numFmtId="0" fontId="5" fillId="3" borderId="0" xfId="0" applyFont="1" applyFill="1" applyAlignment="1"/>
    <xf numFmtId="0" fontId="9" fillId="3" borderId="0" xfId="0" applyFont="1" applyFill="1" applyBorder="1"/>
    <xf numFmtId="0" fontId="5" fillId="15" borderId="16" xfId="0" applyFont="1" applyFill="1" applyBorder="1" applyAlignment="1"/>
    <xf numFmtId="0" fontId="12" fillId="15" borderId="17" xfId="0" applyFont="1" applyFill="1" applyBorder="1"/>
    <xf numFmtId="0" fontId="9" fillId="15" borderId="18" xfId="0" applyFont="1" applyFill="1" applyBorder="1"/>
    <xf numFmtId="0" fontId="9" fillId="15" borderId="16" xfId="0" applyFont="1" applyFill="1" applyBorder="1"/>
    <xf numFmtId="0" fontId="9" fillId="15" borderId="17" xfId="0" applyFont="1" applyFill="1" applyBorder="1"/>
    <xf numFmtId="0" fontId="9" fillId="15" borderId="19" xfId="0" applyFont="1" applyFill="1" applyBorder="1"/>
    <xf numFmtId="1" fontId="13" fillId="15" borderId="20" xfId="0" applyNumberFormat="1" applyFont="1" applyFill="1" applyBorder="1" applyAlignment="1">
      <alignment horizontal="center" vertical="center"/>
    </xf>
    <xf numFmtId="1" fontId="13" fillId="15" borderId="21" xfId="0" applyNumberFormat="1" applyFont="1" applyFill="1" applyBorder="1" applyAlignment="1">
      <alignment horizontal="center" vertical="center"/>
    </xf>
    <xf numFmtId="164" fontId="13" fillId="15" borderId="21" xfId="0" applyNumberFormat="1" applyFont="1" applyFill="1" applyBorder="1" applyAlignment="1">
      <alignment horizontal="center" vertical="center"/>
    </xf>
    <xf numFmtId="164" fontId="13" fillId="15" borderId="22" xfId="0" applyNumberFormat="1" applyFont="1" applyFill="1" applyBorder="1" applyAlignment="1">
      <alignment horizontal="center" vertical="center"/>
    </xf>
    <xf numFmtId="0" fontId="5" fillId="15" borderId="24" xfId="0" applyFont="1" applyFill="1" applyBorder="1" applyAlignment="1">
      <alignment horizontal="center" vertical="center"/>
    </xf>
    <xf numFmtId="0" fontId="5" fillId="15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9" fillId="15" borderId="16" xfId="0" applyFont="1" applyFill="1" applyBorder="1" applyAlignment="1">
      <alignment horizontal="center" vertical="center"/>
    </xf>
    <xf numFmtId="0" fontId="9" fillId="15" borderId="25" xfId="0" applyFont="1" applyFill="1" applyBorder="1" applyAlignment="1">
      <alignment horizontal="center" vertical="center"/>
    </xf>
    <xf numFmtId="0" fontId="9" fillId="15" borderId="24" xfId="0" applyFont="1" applyFill="1" applyBorder="1" applyAlignment="1">
      <alignment horizontal="center" vertical="center"/>
    </xf>
    <xf numFmtId="0" fontId="9" fillId="15" borderId="27" xfId="0" applyFont="1" applyFill="1" applyBorder="1" applyAlignment="1">
      <alignment horizontal="center" vertical="center"/>
    </xf>
    <xf numFmtId="1" fontId="13" fillId="15" borderId="28" xfId="0" applyNumberFormat="1" applyFont="1" applyFill="1" applyBorder="1" applyAlignment="1">
      <alignment horizontal="center" vertical="center"/>
    </xf>
    <xf numFmtId="1" fontId="13" fillId="15" borderId="29" xfId="0" applyNumberFormat="1" applyFont="1" applyFill="1" applyBorder="1" applyAlignment="1">
      <alignment horizontal="center" vertical="center"/>
    </xf>
    <xf numFmtId="1" fontId="13" fillId="15" borderId="30" xfId="0" applyNumberFormat="1" applyFont="1" applyFill="1" applyBorder="1" applyAlignment="1">
      <alignment horizontal="center" vertical="center"/>
    </xf>
    <xf numFmtId="164" fontId="13" fillId="15" borderId="29" xfId="0" applyNumberFormat="1" applyFont="1" applyFill="1" applyBorder="1" applyAlignment="1">
      <alignment horizontal="center" vertical="center"/>
    </xf>
    <xf numFmtId="164" fontId="13" fillId="15" borderId="31" xfId="0" applyNumberFormat="1" applyFont="1" applyFill="1" applyBorder="1" applyAlignment="1">
      <alignment horizontal="center" vertical="center"/>
    </xf>
    <xf numFmtId="1" fontId="13" fillId="15" borderId="24" xfId="0" applyNumberFormat="1" applyFont="1" applyFill="1" applyBorder="1" applyAlignment="1">
      <alignment horizontal="center" vertical="center"/>
    </xf>
    <xf numFmtId="1" fontId="13" fillId="15" borderId="16" xfId="0" applyNumberFormat="1" applyFont="1" applyFill="1" applyBorder="1" applyAlignment="1">
      <alignment horizontal="center" vertical="center"/>
    </xf>
    <xf numFmtId="1" fontId="13" fillId="15" borderId="31" xfId="0" applyNumberFormat="1" applyFont="1" applyFill="1" applyBorder="1" applyAlignment="1">
      <alignment horizontal="center" vertical="center"/>
    </xf>
    <xf numFmtId="1" fontId="13" fillId="15" borderId="18" xfId="0" applyNumberFormat="1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vertical="center" wrapText="1"/>
    </xf>
    <xf numFmtId="1" fontId="13" fillId="3" borderId="2" xfId="0" applyNumberFormat="1" applyFont="1" applyFill="1" applyBorder="1" applyAlignment="1">
      <alignment vertical="center" wrapText="1"/>
    </xf>
    <xf numFmtId="0" fontId="13" fillId="3" borderId="12" xfId="0" applyFont="1" applyFill="1" applyBorder="1" applyAlignment="1">
      <alignment vertical="center" wrapText="1"/>
    </xf>
    <xf numFmtId="1" fontId="13" fillId="3" borderId="1" xfId="0" applyNumberFormat="1" applyFont="1" applyFill="1" applyBorder="1" applyAlignment="1">
      <alignment vertical="center" wrapText="1"/>
    </xf>
    <xf numFmtId="0" fontId="13" fillId="3" borderId="42" xfId="0" applyFont="1" applyFill="1" applyBorder="1" applyAlignment="1">
      <alignment horizontal="center" vertical="center" wrapText="1"/>
    </xf>
    <xf numFmtId="1" fontId="13" fillId="3" borderId="44" xfId="0" applyNumberFormat="1" applyFont="1" applyFill="1" applyBorder="1" applyAlignment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3" borderId="44" xfId="0" applyFont="1" applyFill="1" applyBorder="1" applyAlignment="1">
      <alignment horizontal="center" vertical="center" wrapText="1"/>
    </xf>
    <xf numFmtId="166" fontId="13" fillId="16" borderId="46" xfId="1" applyNumberFormat="1" applyFont="1" applyFill="1" applyBorder="1" applyAlignment="1">
      <alignment horizontal="center" vertical="center" wrapText="1"/>
    </xf>
    <xf numFmtId="166" fontId="13" fillId="16" borderId="47" xfId="1" applyNumberFormat="1" applyFont="1" applyFill="1" applyBorder="1" applyAlignment="1">
      <alignment horizontal="center" vertical="center" wrapText="1"/>
    </xf>
    <xf numFmtId="0" fontId="13" fillId="16" borderId="47" xfId="0" applyFont="1" applyFill="1" applyBorder="1" applyAlignment="1">
      <alignment horizontal="center" vertical="center" wrapText="1"/>
    </xf>
    <xf numFmtId="164" fontId="13" fillId="16" borderId="47" xfId="0" applyNumberFormat="1" applyFont="1" applyFill="1" applyBorder="1" applyAlignment="1">
      <alignment horizontal="center" vertical="center" wrapText="1"/>
    </xf>
    <xf numFmtId="164" fontId="13" fillId="16" borderId="48" xfId="0" applyNumberFormat="1" applyFont="1" applyFill="1" applyBorder="1" applyAlignment="1">
      <alignment horizontal="center" vertical="center" wrapText="1"/>
    </xf>
    <xf numFmtId="0" fontId="13" fillId="16" borderId="33" xfId="0" applyFont="1" applyFill="1" applyBorder="1" applyAlignment="1">
      <alignment horizontal="center" vertical="center" wrapText="1"/>
    </xf>
    <xf numFmtId="0" fontId="13" fillId="3" borderId="50" xfId="0" applyFont="1" applyFill="1" applyBorder="1" applyAlignment="1">
      <alignment horizontal="center" vertical="center" wrapText="1"/>
    </xf>
    <xf numFmtId="0" fontId="13" fillId="3" borderId="52" xfId="0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0" fontId="13" fillId="3" borderId="37" xfId="0" applyFont="1" applyFill="1" applyBorder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0" fontId="13" fillId="3" borderId="54" xfId="0" applyFont="1" applyFill="1" applyBorder="1" applyAlignment="1">
      <alignment horizontal="center" vertical="center" wrapText="1"/>
    </xf>
    <xf numFmtId="0" fontId="5" fillId="0" borderId="55" xfId="5" applyFont="1" applyBorder="1" applyAlignment="1">
      <alignment horizontal="left" vertical="top"/>
    </xf>
    <xf numFmtId="0" fontId="5" fillId="0" borderId="0" xfId="6" applyFont="1"/>
    <xf numFmtId="49" fontId="17" fillId="17" borderId="2" xfId="4" applyNumberFormat="1" applyFont="1" applyFill="1" applyBorder="1" applyAlignment="1">
      <alignment horizontal="center" vertical="center"/>
    </xf>
    <xf numFmtId="1" fontId="17" fillId="17" borderId="14" xfId="4" applyNumberFormat="1" applyFont="1" applyFill="1" applyBorder="1" applyAlignment="1">
      <alignment horizontal="left" vertical="center"/>
    </xf>
    <xf numFmtId="1" fontId="17" fillId="17" borderId="13" xfId="4" applyNumberFormat="1" applyFont="1" applyFill="1" applyBorder="1" applyAlignment="1">
      <alignment horizontal="left" vertical="center"/>
    </xf>
    <xf numFmtId="1" fontId="18" fillId="17" borderId="13" xfId="2" applyNumberFormat="1" applyFont="1" applyFill="1" applyBorder="1" applyAlignment="1">
      <alignment horizontal="left" vertical="center"/>
    </xf>
    <xf numFmtId="1" fontId="18" fillId="17" borderId="2" xfId="2" applyNumberFormat="1" applyFont="1" applyFill="1" applyBorder="1" applyAlignment="1">
      <alignment horizontal="left" vertical="center"/>
    </xf>
    <xf numFmtId="166" fontId="17" fillId="17" borderId="52" xfId="1" applyNumberFormat="1" applyFont="1" applyFill="1" applyBorder="1" applyAlignment="1">
      <alignment horizontal="center" vertical="center"/>
    </xf>
    <xf numFmtId="166" fontId="17" fillId="17" borderId="13" xfId="1" applyNumberFormat="1" applyFont="1" applyFill="1" applyBorder="1" applyAlignment="1">
      <alignment horizontal="center" vertical="center"/>
    </xf>
    <xf numFmtId="164" fontId="17" fillId="17" borderId="13" xfId="4" applyNumberFormat="1" applyFont="1" applyFill="1" applyBorder="1" applyAlignment="1">
      <alignment horizontal="center" vertical="center"/>
    </xf>
    <xf numFmtId="167" fontId="17" fillId="17" borderId="15" xfId="3" applyNumberFormat="1" applyFont="1" applyFill="1" applyBorder="1" applyAlignment="1">
      <alignment horizontal="center" vertical="center"/>
    </xf>
    <xf numFmtId="168" fontId="20" fillId="17" borderId="3" xfId="0" applyNumberFormat="1" applyFont="1" applyFill="1" applyBorder="1" applyAlignment="1">
      <alignment horizontal="center" vertical="center"/>
    </xf>
    <xf numFmtId="167" fontId="20" fillId="17" borderId="15" xfId="3" applyNumberFormat="1" applyFont="1" applyFill="1" applyBorder="1" applyAlignment="1">
      <alignment horizontal="center" vertical="center"/>
    </xf>
    <xf numFmtId="1" fontId="21" fillId="17" borderId="14" xfId="4" applyNumberFormat="1" applyFont="1" applyFill="1" applyBorder="1" applyAlignment="1">
      <alignment horizontal="center" vertical="center"/>
    </xf>
    <xf numFmtId="1" fontId="21" fillId="17" borderId="13" xfId="4" applyNumberFormat="1" applyFont="1" applyFill="1" applyBorder="1" applyAlignment="1">
      <alignment horizontal="center" vertical="center"/>
    </xf>
    <xf numFmtId="164" fontId="21" fillId="17" borderId="15" xfId="2" applyNumberFormat="1" applyFont="1" applyFill="1" applyBorder="1" applyAlignment="1">
      <alignment horizontal="center" vertical="center"/>
    </xf>
    <xf numFmtId="164" fontId="19" fillId="17" borderId="15" xfId="2" applyNumberFormat="1" applyFont="1" applyFill="1" applyBorder="1" applyAlignment="1">
      <alignment horizontal="center" vertical="center"/>
    </xf>
    <xf numFmtId="44" fontId="21" fillId="17" borderId="13" xfId="2" applyNumberFormat="1" applyFont="1" applyFill="1" applyBorder="1" applyAlignment="1">
      <alignment horizontal="center" vertical="center"/>
    </xf>
    <xf numFmtId="44" fontId="22" fillId="17" borderId="13" xfId="2" applyNumberFormat="1" applyFont="1" applyFill="1" applyBorder="1" applyAlignment="1">
      <alignment horizontal="center" vertical="center"/>
    </xf>
    <xf numFmtId="164" fontId="21" fillId="17" borderId="13" xfId="4" applyNumberFormat="1" applyFont="1" applyFill="1" applyBorder="1" applyAlignment="1">
      <alignment horizontal="center" vertical="center"/>
    </xf>
    <xf numFmtId="1" fontId="21" fillId="17" borderId="3" xfId="4" applyNumberFormat="1" applyFont="1" applyFill="1" applyBorder="1" applyAlignment="1">
      <alignment horizontal="center" vertical="center"/>
    </xf>
    <xf numFmtId="164" fontId="19" fillId="17" borderId="13" xfId="4" applyNumberFormat="1" applyFont="1" applyFill="1" applyBorder="1" applyAlignment="1">
      <alignment horizontal="center" vertical="center"/>
    </xf>
    <xf numFmtId="164" fontId="21" fillId="17" borderId="13" xfId="2" applyNumberFormat="1" applyFont="1" applyFill="1" applyBorder="1" applyAlignment="1">
      <alignment horizontal="center" vertical="center"/>
    </xf>
    <xf numFmtId="44" fontId="21" fillId="17" borderId="13" xfId="2" applyFont="1" applyFill="1" applyBorder="1" applyAlignment="1">
      <alignment horizontal="center" vertical="center"/>
    </xf>
    <xf numFmtId="0" fontId="5" fillId="7" borderId="55" xfId="5" applyFont="1" applyFill="1" applyBorder="1" applyAlignment="1">
      <alignment horizontal="left" vertical="top"/>
    </xf>
    <xf numFmtId="0" fontId="5" fillId="7" borderId="0" xfId="6" applyFont="1" applyFill="1"/>
    <xf numFmtId="49" fontId="17" fillId="3" borderId="2" xfId="4" applyNumberFormat="1" applyFont="1" applyFill="1" applyBorder="1" applyAlignment="1">
      <alignment horizontal="center" vertical="center"/>
    </xf>
    <xf numFmtId="1" fontId="17" fillId="3" borderId="14" xfId="4" applyNumberFormat="1" applyFont="1" applyFill="1" applyBorder="1" applyAlignment="1">
      <alignment horizontal="left" vertical="center"/>
    </xf>
    <xf numFmtId="1" fontId="17" fillId="3" borderId="13" xfId="4" applyNumberFormat="1" applyFont="1" applyFill="1" applyBorder="1" applyAlignment="1">
      <alignment horizontal="left" vertical="center"/>
    </xf>
    <xf numFmtId="1" fontId="17" fillId="3" borderId="13" xfId="2" applyNumberFormat="1" applyFont="1" applyFill="1" applyBorder="1" applyAlignment="1">
      <alignment horizontal="left" vertical="center"/>
    </xf>
    <xf numFmtId="1" fontId="18" fillId="3" borderId="13" xfId="2" applyNumberFormat="1" applyFont="1" applyFill="1" applyBorder="1" applyAlignment="1">
      <alignment horizontal="left" vertical="center"/>
    </xf>
    <xf numFmtId="1" fontId="18" fillId="3" borderId="2" xfId="2" applyNumberFormat="1" applyFont="1" applyFill="1" applyBorder="1" applyAlignment="1">
      <alignment horizontal="left" vertical="center"/>
    </xf>
    <xf numFmtId="166" fontId="17" fillId="3" borderId="56" xfId="1" applyNumberFormat="1" applyFont="1" applyFill="1" applyBorder="1" applyAlignment="1">
      <alignment horizontal="center" vertical="center"/>
    </xf>
    <xf numFmtId="166" fontId="17" fillId="3" borderId="49" xfId="1" applyNumberFormat="1" applyFont="1" applyFill="1" applyBorder="1" applyAlignment="1">
      <alignment horizontal="center" vertical="center"/>
    </xf>
    <xf numFmtId="164" fontId="17" fillId="3" borderId="49" xfId="4" applyNumberFormat="1" applyFont="1" applyFill="1" applyBorder="1" applyAlignment="1">
      <alignment horizontal="center" vertical="center"/>
    </xf>
    <xf numFmtId="167" fontId="17" fillId="3" borderId="57" xfId="3" applyNumberFormat="1" applyFont="1" applyFill="1" applyBorder="1" applyAlignment="1">
      <alignment horizontal="center" vertical="center"/>
    </xf>
    <xf numFmtId="168" fontId="20" fillId="3" borderId="40" xfId="0" applyNumberFormat="1" applyFont="1" applyFill="1" applyBorder="1" applyAlignment="1">
      <alignment horizontal="center" vertical="center"/>
    </xf>
    <xf numFmtId="167" fontId="20" fillId="3" borderId="57" xfId="3" applyNumberFormat="1" applyFont="1" applyFill="1" applyBorder="1" applyAlignment="1">
      <alignment horizontal="center" vertical="center"/>
    </xf>
    <xf numFmtId="1" fontId="21" fillId="3" borderId="14" xfId="4" applyNumberFormat="1" applyFont="1" applyFill="1" applyBorder="1" applyAlignment="1">
      <alignment horizontal="center" vertical="center"/>
    </xf>
    <xf numFmtId="1" fontId="21" fillId="3" borderId="13" xfId="4" applyNumberFormat="1" applyFont="1" applyFill="1" applyBorder="1" applyAlignment="1">
      <alignment horizontal="center" vertical="center"/>
    </xf>
    <xf numFmtId="164" fontId="21" fillId="3" borderId="15" xfId="2" applyNumberFormat="1" applyFont="1" applyFill="1" applyBorder="1" applyAlignment="1">
      <alignment horizontal="center" vertical="center"/>
    </xf>
    <xf numFmtId="164" fontId="19" fillId="3" borderId="15" xfId="2" applyNumberFormat="1" applyFont="1" applyFill="1" applyBorder="1" applyAlignment="1">
      <alignment horizontal="center" vertical="center"/>
    </xf>
    <xf numFmtId="44" fontId="21" fillId="3" borderId="13" xfId="2" applyNumberFormat="1" applyFont="1" applyFill="1" applyBorder="1" applyAlignment="1">
      <alignment horizontal="center" vertical="center"/>
    </xf>
    <xf numFmtId="164" fontId="21" fillId="3" borderId="13" xfId="4" applyNumberFormat="1" applyFont="1" applyFill="1" applyBorder="1" applyAlignment="1">
      <alignment horizontal="center" vertical="center"/>
    </xf>
    <xf numFmtId="1" fontId="21" fillId="3" borderId="3" xfId="4" applyNumberFormat="1" applyFont="1" applyFill="1" applyBorder="1" applyAlignment="1">
      <alignment horizontal="center" vertical="center"/>
    </xf>
    <xf numFmtId="164" fontId="19" fillId="3" borderId="13" xfId="4" applyNumberFormat="1" applyFont="1" applyFill="1" applyBorder="1" applyAlignment="1">
      <alignment horizontal="center" vertical="center"/>
    </xf>
    <xf numFmtId="164" fontId="21" fillId="3" borderId="13" xfId="2" applyNumberFormat="1" applyFont="1" applyFill="1" applyBorder="1" applyAlignment="1">
      <alignment horizontal="center" vertical="center"/>
    </xf>
    <xf numFmtId="44" fontId="21" fillId="3" borderId="13" xfId="2" applyFont="1" applyFill="1" applyBorder="1" applyAlignment="1">
      <alignment horizontal="center" vertical="center"/>
    </xf>
    <xf numFmtId="0" fontId="5" fillId="7" borderId="0" xfId="0" applyFont="1" applyFill="1"/>
    <xf numFmtId="168" fontId="20" fillId="0" borderId="40" xfId="0" applyNumberFormat="1" applyFont="1" applyBorder="1" applyAlignment="1">
      <alignment horizontal="center" vertical="center"/>
    </xf>
    <xf numFmtId="167" fontId="20" fillId="0" borderId="57" xfId="3" applyNumberFormat="1" applyFont="1" applyBorder="1" applyAlignment="1">
      <alignment horizontal="center" vertical="center"/>
    </xf>
    <xf numFmtId="0" fontId="5" fillId="7" borderId="0" xfId="0" applyFont="1" applyFill="1" applyAlignment="1"/>
    <xf numFmtId="49" fontId="17" fillId="4" borderId="2" xfId="4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left" vertical="center"/>
    </xf>
    <xf numFmtId="1" fontId="17" fillId="4" borderId="13" xfId="4" applyNumberFormat="1" applyFont="1" applyFill="1" applyBorder="1" applyAlignment="1">
      <alignment horizontal="left" vertical="center"/>
    </xf>
    <xf numFmtId="1" fontId="17" fillId="4" borderId="2" xfId="4" applyNumberFormat="1" applyFont="1" applyFill="1" applyBorder="1" applyAlignment="1">
      <alignment horizontal="left" vertical="center"/>
    </xf>
    <xf numFmtId="166" fontId="17" fillId="4" borderId="42" xfId="1" applyNumberFormat="1" applyFont="1" applyFill="1" applyBorder="1" applyAlignment="1">
      <alignment horizontal="center" vertical="center"/>
    </xf>
    <xf numFmtId="166" fontId="17" fillId="4" borderId="51" xfId="1" applyNumberFormat="1" applyFont="1" applyFill="1" applyBorder="1" applyAlignment="1">
      <alignment horizontal="center" vertical="center"/>
    </xf>
    <xf numFmtId="164" fontId="17" fillId="4" borderId="51" xfId="4" applyNumberFormat="1" applyFont="1" applyFill="1" applyBorder="1" applyAlignment="1">
      <alignment horizontal="center" vertical="center"/>
    </xf>
    <xf numFmtId="167" fontId="17" fillId="18" borderId="50" xfId="3" applyNumberFormat="1" applyFont="1" applyFill="1" applyBorder="1" applyAlignment="1">
      <alignment horizontal="center" vertical="center"/>
    </xf>
    <xf numFmtId="168" fontId="20" fillId="4" borderId="59" xfId="0" applyNumberFormat="1" applyFont="1" applyFill="1" applyBorder="1" applyAlignment="1">
      <alignment horizontal="center" vertical="center"/>
    </xf>
    <xf numFmtId="167" fontId="20" fillId="18" borderId="50" xfId="3" applyNumberFormat="1" applyFont="1" applyFill="1" applyBorder="1" applyAlignment="1">
      <alignment horizontal="center" vertical="center"/>
    </xf>
    <xf numFmtId="167" fontId="20" fillId="19" borderId="50" xfId="3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center" vertical="center"/>
    </xf>
    <xf numFmtId="1" fontId="17" fillId="4" borderId="13" xfId="4" applyNumberFormat="1" applyFont="1" applyFill="1" applyBorder="1" applyAlignment="1">
      <alignment horizontal="center" vertical="center"/>
    </xf>
    <xf numFmtId="164" fontId="17" fillId="4" borderId="15" xfId="2" applyNumberFormat="1" applyFont="1" applyFill="1" applyBorder="1" applyAlignment="1">
      <alignment horizontal="center" vertical="center"/>
    </xf>
    <xf numFmtId="44" fontId="17" fillId="4" borderId="13" xfId="4" applyNumberFormat="1" applyFont="1" applyFill="1" applyBorder="1" applyAlignment="1">
      <alignment horizontal="center" vertical="center"/>
    </xf>
    <xf numFmtId="166" fontId="17" fillId="4" borderId="14" xfId="1" applyNumberFormat="1" applyFont="1" applyFill="1" applyBorder="1" applyAlignment="1">
      <alignment horizontal="center" vertical="center"/>
    </xf>
    <xf numFmtId="166" fontId="17" fillId="4" borderId="13" xfId="1" applyNumberFormat="1" applyFont="1" applyFill="1" applyBorder="1" applyAlignment="1">
      <alignment horizontal="center" vertical="center"/>
    </xf>
    <xf numFmtId="164" fontId="17" fillId="4" borderId="13" xfId="4" applyNumberFormat="1" applyFont="1" applyFill="1" applyBorder="1" applyAlignment="1">
      <alignment horizontal="center" vertical="center"/>
    </xf>
    <xf numFmtId="1" fontId="17" fillId="4" borderId="3" xfId="4" applyNumberFormat="1" applyFont="1" applyFill="1" applyBorder="1" applyAlignment="1">
      <alignment horizontal="center" vertical="center"/>
    </xf>
    <xf numFmtId="44" fontId="17" fillId="4" borderId="13" xfId="2" applyFont="1" applyFill="1" applyBorder="1" applyAlignment="1">
      <alignment horizontal="center" vertical="center"/>
    </xf>
    <xf numFmtId="0" fontId="16" fillId="3" borderId="0" xfId="6" applyFill="1"/>
    <xf numFmtId="0" fontId="16" fillId="0" borderId="0" xfId="6"/>
    <xf numFmtId="0" fontId="16" fillId="3" borderId="0" xfId="6" applyFill="1" applyBorder="1"/>
    <xf numFmtId="0" fontId="4" fillId="3" borderId="37" xfId="6" applyFont="1" applyFill="1" applyBorder="1" applyAlignment="1">
      <alignment horizontal="center" vertical="center"/>
    </xf>
    <xf numFmtId="0" fontId="24" fillId="3" borderId="38" xfId="7" applyFont="1" applyFill="1" applyBorder="1" applyAlignment="1">
      <alignment horizontal="center" vertical="center" wrapText="1"/>
    </xf>
    <xf numFmtId="0" fontId="24" fillId="3" borderId="39" xfId="7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center" vertical="center"/>
    </xf>
    <xf numFmtId="0" fontId="4" fillId="3" borderId="53" xfId="6" applyFont="1" applyFill="1" applyBorder="1" applyAlignment="1">
      <alignment horizontal="center" vertical="center"/>
    </xf>
    <xf numFmtId="0" fontId="4" fillId="3" borderId="3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/>
    </xf>
    <xf numFmtId="0" fontId="4" fillId="3" borderId="63" xfId="6" applyFont="1" applyFill="1" applyBorder="1" applyAlignment="1">
      <alignment horizontal="center" vertical="center"/>
    </xf>
    <xf numFmtId="0" fontId="1" fillId="3" borderId="64" xfId="6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 vertical="center"/>
    </xf>
    <xf numFmtId="168" fontId="1" fillId="3" borderId="21" xfId="2" applyNumberFormat="1" applyFont="1" applyFill="1" applyBorder="1" applyAlignment="1">
      <alignment horizontal="center" vertical="center"/>
    </xf>
    <xf numFmtId="9" fontId="1" fillId="0" borderId="66" xfId="3" applyFont="1" applyBorder="1" applyAlignment="1">
      <alignment horizontal="center" vertical="center"/>
    </xf>
    <xf numFmtId="168" fontId="1" fillId="0" borderId="67" xfId="0" applyNumberFormat="1" applyFont="1" applyBorder="1" applyAlignment="1">
      <alignment horizontal="center" vertical="center"/>
    </xf>
    <xf numFmtId="9" fontId="1" fillId="0" borderId="68" xfId="3" applyFont="1" applyBorder="1" applyAlignment="1">
      <alignment horizontal="center" vertical="center"/>
    </xf>
    <xf numFmtId="9" fontId="1" fillId="8" borderId="66" xfId="3" applyFont="1" applyFill="1" applyBorder="1" applyAlignment="1">
      <alignment horizontal="center" vertical="center"/>
    </xf>
    <xf numFmtId="168" fontId="1" fillId="8" borderId="69" xfId="0" applyNumberFormat="1" applyFont="1" applyFill="1" applyBorder="1" applyAlignment="1">
      <alignment horizontal="center" vertical="center"/>
    </xf>
    <xf numFmtId="9" fontId="1" fillId="8" borderId="70" xfId="3" applyFont="1" applyFill="1" applyBorder="1" applyAlignment="1">
      <alignment horizontal="center" vertical="center"/>
    </xf>
    <xf numFmtId="0" fontId="0" fillId="0" borderId="0" xfId="0" applyBorder="1"/>
    <xf numFmtId="0" fontId="1" fillId="8" borderId="71" xfId="6" applyFont="1" applyFill="1" applyBorder="1" applyAlignment="1">
      <alignment horizontal="center" vertical="center"/>
    </xf>
    <xf numFmtId="0" fontId="1" fillId="8" borderId="69" xfId="0" applyFont="1" applyFill="1" applyBorder="1" applyAlignment="1">
      <alignment horizontal="center" vertical="center"/>
    </xf>
    <xf numFmtId="168" fontId="1" fillId="8" borderId="16" xfId="2" applyNumberFormat="1" applyFont="1" applyFill="1" applyBorder="1" applyAlignment="1">
      <alignment horizontal="center" vertical="center"/>
    </xf>
    <xf numFmtId="1" fontId="1" fillId="8" borderId="69" xfId="0" applyNumberFormat="1" applyFont="1" applyFill="1" applyBorder="1" applyAlignment="1">
      <alignment horizontal="center" vertical="center"/>
    </xf>
    <xf numFmtId="0" fontId="1" fillId="9" borderId="71" xfId="6" applyFont="1" applyFill="1" applyBorder="1" applyAlignment="1">
      <alignment horizontal="center" vertical="center"/>
    </xf>
    <xf numFmtId="1" fontId="1" fillId="9" borderId="69" xfId="0" applyNumberFormat="1" applyFont="1" applyFill="1" applyBorder="1" applyAlignment="1">
      <alignment horizontal="center" vertical="center"/>
    </xf>
    <xf numFmtId="168" fontId="1" fillId="9" borderId="16" xfId="2" applyNumberFormat="1" applyFont="1" applyFill="1" applyBorder="1" applyAlignment="1">
      <alignment horizontal="center" vertical="center"/>
    </xf>
    <xf numFmtId="9" fontId="1" fillId="9" borderId="66" xfId="3" applyFont="1" applyFill="1" applyBorder="1" applyAlignment="1">
      <alignment horizontal="center" vertical="center"/>
    </xf>
    <xf numFmtId="1" fontId="0" fillId="9" borderId="69" xfId="0" applyNumberFormat="1" applyFont="1" applyFill="1" applyBorder="1" applyAlignment="1">
      <alignment horizontal="center" vertical="center"/>
    </xf>
    <xf numFmtId="168" fontId="1" fillId="9" borderId="69" xfId="0" applyNumberFormat="1" applyFont="1" applyFill="1" applyBorder="1" applyAlignment="1">
      <alignment horizontal="center" vertical="center"/>
    </xf>
    <xf numFmtId="9" fontId="1" fillId="9" borderId="70" xfId="3" applyFont="1" applyFill="1" applyBorder="1" applyAlignment="1">
      <alignment horizontal="center" vertical="center"/>
    </xf>
    <xf numFmtId="0" fontId="1" fillId="10" borderId="71" xfId="6" applyFont="1" applyFill="1" applyBorder="1" applyAlignment="1">
      <alignment horizontal="center" vertical="center"/>
    </xf>
    <xf numFmtId="1" fontId="1" fillId="10" borderId="69" xfId="0" applyNumberFormat="1" applyFont="1" applyFill="1" applyBorder="1" applyAlignment="1">
      <alignment horizontal="center" vertical="center"/>
    </xf>
    <xf numFmtId="168" fontId="1" fillId="10" borderId="16" xfId="2" applyNumberFormat="1" applyFont="1" applyFill="1" applyBorder="1" applyAlignment="1">
      <alignment horizontal="center" vertical="center"/>
    </xf>
    <xf numFmtId="9" fontId="1" fillId="10" borderId="66" xfId="3" applyFont="1" applyFill="1" applyBorder="1" applyAlignment="1">
      <alignment horizontal="center" vertical="center"/>
    </xf>
    <xf numFmtId="168" fontId="1" fillId="10" borderId="69" xfId="0" applyNumberFormat="1" applyFont="1" applyFill="1" applyBorder="1" applyAlignment="1">
      <alignment horizontal="center" vertical="center"/>
    </xf>
    <xf numFmtId="9" fontId="1" fillId="10" borderId="70" xfId="3" applyFont="1" applyFill="1" applyBorder="1" applyAlignment="1">
      <alignment horizontal="center" vertical="center"/>
    </xf>
    <xf numFmtId="0" fontId="1" fillId="11" borderId="71" xfId="6" applyFont="1" applyFill="1" applyBorder="1" applyAlignment="1">
      <alignment horizontal="center" vertical="center"/>
    </xf>
    <xf numFmtId="1" fontId="1" fillId="11" borderId="69" xfId="0" applyNumberFormat="1" applyFont="1" applyFill="1" applyBorder="1" applyAlignment="1">
      <alignment horizontal="center" vertical="center"/>
    </xf>
    <xf numFmtId="168" fontId="1" fillId="11" borderId="16" xfId="2" applyNumberFormat="1" applyFont="1" applyFill="1" applyBorder="1" applyAlignment="1">
      <alignment horizontal="center" vertical="center"/>
    </xf>
    <xf numFmtId="9" fontId="1" fillId="11" borderId="66" xfId="3" applyFont="1" applyFill="1" applyBorder="1" applyAlignment="1">
      <alignment horizontal="center" vertical="center"/>
    </xf>
    <xf numFmtId="1" fontId="0" fillId="11" borderId="69" xfId="0" applyNumberFormat="1" applyFont="1" applyFill="1" applyBorder="1" applyAlignment="1">
      <alignment horizontal="center" vertical="center"/>
    </xf>
    <xf numFmtId="168" fontId="1" fillId="11" borderId="69" xfId="0" applyNumberFormat="1" applyFont="1" applyFill="1" applyBorder="1" applyAlignment="1">
      <alignment horizontal="center" vertical="center"/>
    </xf>
    <xf numFmtId="9" fontId="1" fillId="11" borderId="70" xfId="3" applyFont="1" applyFill="1" applyBorder="1" applyAlignment="1">
      <alignment horizontal="center" vertical="center"/>
    </xf>
    <xf numFmtId="0" fontId="1" fillId="12" borderId="71" xfId="6" applyFont="1" applyFill="1" applyBorder="1" applyAlignment="1">
      <alignment horizontal="center" vertical="center"/>
    </xf>
    <xf numFmtId="1" fontId="1" fillId="12" borderId="69" xfId="0" applyNumberFormat="1" applyFont="1" applyFill="1" applyBorder="1" applyAlignment="1">
      <alignment horizontal="center" vertical="center"/>
    </xf>
    <xf numFmtId="168" fontId="1" fillId="12" borderId="16" xfId="2" applyNumberFormat="1" applyFont="1" applyFill="1" applyBorder="1" applyAlignment="1">
      <alignment horizontal="center" vertical="center"/>
    </xf>
    <xf numFmtId="168" fontId="1" fillId="12" borderId="69" xfId="0" applyNumberFormat="1" applyFont="1" applyFill="1" applyBorder="1" applyAlignment="1">
      <alignment horizontal="center" vertical="center"/>
    </xf>
    <xf numFmtId="0" fontId="4" fillId="19" borderId="72" xfId="6" applyFont="1" applyFill="1" applyBorder="1" applyAlignment="1">
      <alignment horizontal="center" vertical="center"/>
    </xf>
    <xf numFmtId="0" fontId="4" fillId="19" borderId="73" xfId="0" applyFont="1" applyFill="1" applyBorder="1" applyAlignment="1">
      <alignment horizontal="center" vertical="center"/>
    </xf>
    <xf numFmtId="168" fontId="4" fillId="19" borderId="74" xfId="2" applyNumberFormat="1" applyFont="1" applyFill="1" applyBorder="1" applyAlignment="1">
      <alignment horizontal="center" vertical="center"/>
    </xf>
    <xf numFmtId="9" fontId="1" fillId="19" borderId="75" xfId="3" applyFont="1" applyFill="1" applyBorder="1" applyAlignment="1">
      <alignment horizontal="center" vertical="center"/>
    </xf>
    <xf numFmtId="1" fontId="4" fillId="19" borderId="74" xfId="0" applyNumberFormat="1" applyFont="1" applyFill="1" applyBorder="1" applyAlignment="1">
      <alignment horizontal="center" vertical="center"/>
    </xf>
    <xf numFmtId="168" fontId="4" fillId="19" borderId="73" xfId="0" applyNumberFormat="1" applyFont="1" applyFill="1" applyBorder="1" applyAlignment="1">
      <alignment horizontal="center" vertical="center"/>
    </xf>
    <xf numFmtId="0" fontId="1" fillId="20" borderId="62" xfId="6" applyFont="1" applyFill="1" applyBorder="1" applyAlignment="1">
      <alignment horizontal="center" vertical="center"/>
    </xf>
    <xf numFmtId="1" fontId="1" fillId="20" borderId="45" xfId="0" applyNumberFormat="1" applyFont="1" applyFill="1" applyBorder="1" applyAlignment="1">
      <alignment horizontal="center" vertical="center"/>
    </xf>
    <xf numFmtId="168" fontId="1" fillId="20" borderId="76" xfId="2" applyNumberFormat="1" applyFont="1" applyFill="1" applyBorder="1" applyAlignment="1">
      <alignment horizontal="center" vertical="center"/>
    </xf>
    <xf numFmtId="9" fontId="0" fillId="20" borderId="43" xfId="3" applyFont="1" applyFill="1" applyBorder="1" applyAlignment="1">
      <alignment horizontal="center" vertical="center"/>
    </xf>
    <xf numFmtId="0" fontId="0" fillId="20" borderId="45" xfId="0" applyFont="1" applyFill="1" applyBorder="1" applyAlignment="1">
      <alignment horizontal="center" vertical="center"/>
    </xf>
    <xf numFmtId="1" fontId="0" fillId="20" borderId="76" xfId="0" applyNumberFormat="1" applyFont="1" applyFill="1" applyBorder="1" applyAlignment="1">
      <alignment horizontal="center" vertical="center"/>
    </xf>
    <xf numFmtId="168" fontId="0" fillId="20" borderId="76" xfId="2" applyNumberFormat="1" applyFont="1" applyFill="1" applyBorder="1" applyAlignment="1">
      <alignment horizontal="center" vertical="center"/>
    </xf>
    <xf numFmtId="0" fontId="0" fillId="20" borderId="6" xfId="0" applyFont="1" applyFill="1" applyBorder="1" applyAlignment="1">
      <alignment horizontal="center" vertical="center"/>
    </xf>
    <xf numFmtId="168" fontId="1" fillId="20" borderId="45" xfId="0" applyNumberFormat="1" applyFont="1" applyFill="1" applyBorder="1" applyAlignment="1">
      <alignment horizontal="center" vertical="center"/>
    </xf>
    <xf numFmtId="0" fontId="0" fillId="20" borderId="43" xfId="0" applyFont="1" applyFill="1" applyBorder="1" applyAlignment="1">
      <alignment horizontal="center" vertical="center"/>
    </xf>
    <xf numFmtId="167" fontId="2" fillId="21" borderId="49" xfId="3" applyNumberFormat="1" applyFont="1" applyFill="1" applyBorder="1" applyAlignment="1">
      <alignment horizontal="center" vertical="center"/>
    </xf>
    <xf numFmtId="168" fontId="4" fillId="3" borderId="51" xfId="2" applyNumberFormat="1" applyFont="1" applyFill="1" applyBorder="1" applyAlignment="1">
      <alignment horizontal="center" vertical="center"/>
    </xf>
    <xf numFmtId="14" fontId="0" fillId="0" borderId="0" xfId="0" applyNumberFormat="1"/>
    <xf numFmtId="0" fontId="25" fillId="0" borderId="0" xfId="0" applyFont="1"/>
    <xf numFmtId="0" fontId="26" fillId="0" borderId="0" xfId="0" applyFont="1"/>
    <xf numFmtId="1" fontId="0" fillId="0" borderId="0" xfId="0" applyNumberFormat="1"/>
    <xf numFmtId="169" fontId="0" fillId="0" borderId="0" xfId="0" applyNumberFormat="1"/>
    <xf numFmtId="44" fontId="0" fillId="0" borderId="0" xfId="2" applyFont="1"/>
    <xf numFmtId="0" fontId="0" fillId="21" borderId="0" xfId="0" applyFill="1"/>
    <xf numFmtId="0" fontId="27" fillId="22" borderId="0" xfId="0" applyFont="1" applyFill="1"/>
    <xf numFmtId="1" fontId="27" fillId="0" borderId="0" xfId="0" applyNumberFormat="1" applyFont="1"/>
    <xf numFmtId="0" fontId="28" fillId="0" borderId="0" xfId="0" applyFont="1"/>
    <xf numFmtId="14" fontId="27" fillId="22" borderId="0" xfId="0" applyNumberFormat="1" applyFont="1" applyFill="1"/>
    <xf numFmtId="169" fontId="27" fillId="22" borderId="0" xfId="0" applyNumberFormat="1" applyFont="1" applyFill="1"/>
    <xf numFmtId="44" fontId="27" fillId="22" borderId="0" xfId="2" applyFont="1" applyFill="1"/>
    <xf numFmtId="0" fontId="29" fillId="23" borderId="16" xfId="0" applyFont="1" applyFill="1" applyBorder="1"/>
    <xf numFmtId="0" fontId="27" fillId="0" borderId="0" xfId="0" applyFont="1"/>
    <xf numFmtId="0" fontId="30" fillId="0" borderId="0" xfId="0" applyFont="1"/>
    <xf numFmtId="14" fontId="28" fillId="0" borderId="0" xfId="0" applyNumberFormat="1" applyFont="1"/>
    <xf numFmtId="14" fontId="25" fillId="0" borderId="0" xfId="0" applyNumberFormat="1" applyFont="1"/>
    <xf numFmtId="0" fontId="25" fillId="21" borderId="0" xfId="0" applyFont="1" applyFill="1"/>
    <xf numFmtId="0" fontId="0" fillId="15" borderId="0" xfId="0" applyFill="1"/>
    <xf numFmtId="0" fontId="31" fillId="15" borderId="0" xfId="0" applyFont="1" applyFill="1"/>
    <xf numFmtId="0" fontId="27" fillId="15" borderId="0" xfId="0" applyFont="1" applyFill="1"/>
    <xf numFmtId="1" fontId="27" fillId="15" borderId="0" xfId="0" applyNumberFormat="1" applyFont="1" applyFill="1"/>
    <xf numFmtId="14" fontId="27" fillId="15" borderId="0" xfId="0" applyNumberFormat="1" applyFont="1" applyFill="1"/>
    <xf numFmtId="44" fontId="27" fillId="15" borderId="0" xfId="2" applyFont="1" applyFill="1"/>
    <xf numFmtId="0" fontId="27" fillId="21" borderId="0" xfId="0" applyFont="1" applyFill="1"/>
    <xf numFmtId="0" fontId="25" fillId="15" borderId="0" xfId="0" applyFont="1" applyFill="1"/>
    <xf numFmtId="0" fontId="32" fillId="0" borderId="0" xfId="0" applyFont="1"/>
    <xf numFmtId="0" fontId="33" fillId="0" borderId="0" xfId="0" applyFont="1"/>
    <xf numFmtId="14" fontId="32" fillId="25" borderId="1" xfId="0" applyNumberFormat="1" applyFont="1" applyFill="1" applyBorder="1" applyAlignment="1">
      <alignment horizontal="center"/>
    </xf>
    <xf numFmtId="44" fontId="34" fillId="26" borderId="1" xfId="2" applyFont="1" applyFill="1" applyBorder="1" applyAlignment="1">
      <alignment horizontal="center"/>
    </xf>
    <xf numFmtId="0" fontId="32" fillId="21" borderId="0" xfId="0" applyFont="1" applyFill="1"/>
    <xf numFmtId="0" fontId="0" fillId="0" borderId="81" xfId="0" applyFont="1" applyBorder="1" applyAlignment="1">
      <alignment horizontal="center"/>
    </xf>
    <xf numFmtId="0" fontId="16" fillId="28" borderId="21" xfId="8" applyFont="1" applyFill="1" applyBorder="1" applyAlignment="1">
      <alignment horizontal="center" vertical="center"/>
    </xf>
    <xf numFmtId="164" fontId="16" fillId="28" borderId="21" xfId="9" applyNumberFormat="1" applyFont="1" applyFill="1" applyBorder="1" applyAlignment="1">
      <alignment horizontal="center" vertical="center"/>
    </xf>
    <xf numFmtId="1" fontId="16" fillId="29" borderId="21" xfId="8" applyNumberFormat="1" applyFont="1" applyFill="1" applyBorder="1" applyAlignment="1">
      <alignment horizontal="center" vertical="center"/>
    </xf>
    <xf numFmtId="1" fontId="16" fillId="28" borderId="21" xfId="8" applyNumberFormat="1" applyFont="1" applyFill="1" applyBorder="1" applyAlignment="1">
      <alignment horizontal="center" vertical="center"/>
    </xf>
    <xf numFmtId="14" fontId="16" fillId="28" borderId="21" xfId="8" applyNumberFormat="1" applyFont="1" applyFill="1" applyBorder="1" applyAlignment="1">
      <alignment horizontal="center" vertical="center"/>
    </xf>
    <xf numFmtId="169" fontId="16" fillId="28" borderId="21" xfId="8" applyNumberFormat="1" applyFont="1" applyFill="1" applyBorder="1" applyAlignment="1">
      <alignment horizontal="center" vertical="center"/>
    </xf>
    <xf numFmtId="14" fontId="16" fillId="28" borderId="21" xfId="9" applyNumberFormat="1" applyFont="1" applyFill="1" applyBorder="1" applyAlignment="1">
      <alignment horizontal="center" vertical="center"/>
    </xf>
    <xf numFmtId="44" fontId="16" fillId="28" borderId="21" xfId="2" applyFont="1" applyFill="1" applyBorder="1" applyAlignment="1">
      <alignment horizontal="center" vertical="center"/>
    </xf>
    <xf numFmtId="14" fontId="16" fillId="28" borderId="21" xfId="8" applyNumberFormat="1" applyFont="1" applyFill="1" applyBorder="1" applyAlignment="1">
      <alignment horizontal="center" vertical="center" wrapText="1"/>
    </xf>
    <xf numFmtId="0" fontId="35" fillId="30" borderId="21" xfId="8" applyFont="1" applyFill="1" applyBorder="1" applyAlignment="1">
      <alignment horizontal="center" vertical="center"/>
    </xf>
    <xf numFmtId="14" fontId="16" fillId="15" borderId="21" xfId="8" applyNumberFormat="1" applyFont="1" applyFill="1" applyBorder="1" applyAlignment="1">
      <alignment horizontal="center" vertical="center" wrapText="1"/>
    </xf>
    <xf numFmtId="14" fontId="25" fillId="15" borderId="16" xfId="0" applyNumberFormat="1" applyFont="1" applyFill="1" applyBorder="1"/>
    <xf numFmtId="0" fontId="25" fillId="15" borderId="16" xfId="0" applyFont="1" applyFill="1" applyBorder="1"/>
    <xf numFmtId="0" fontId="25" fillId="15" borderId="21" xfId="0" applyFont="1" applyFill="1" applyBorder="1"/>
    <xf numFmtId="0" fontId="0" fillId="0" borderId="0" xfId="0" applyAlignment="1">
      <alignment horizontal="center"/>
    </xf>
    <xf numFmtId="0" fontId="0" fillId="21" borderId="0" xfId="0" applyFill="1" applyAlignment="1">
      <alignment horizontal="center"/>
    </xf>
    <xf numFmtId="14" fontId="0" fillId="0" borderId="81" xfId="0" applyNumberFormat="1" applyFont="1" applyBorder="1" applyAlignment="1">
      <alignment horizontal="center" vertical="center" wrapText="1"/>
    </xf>
    <xf numFmtId="0" fontId="25" fillId="0" borderId="81" xfId="0" applyFont="1" applyBorder="1" applyAlignment="1">
      <alignment horizontal="center" vertical="center" wrapText="1"/>
    </xf>
    <xf numFmtId="0" fontId="0" fillId="17" borderId="0" xfId="0" applyFill="1"/>
    <xf numFmtId="169" fontId="0" fillId="17" borderId="0" xfId="2" applyNumberFormat="1" applyFont="1" applyFill="1"/>
    <xf numFmtId="44" fontId="0" fillId="17" borderId="0" xfId="2" applyFont="1" applyFill="1"/>
    <xf numFmtId="0" fontId="3" fillId="0" borderId="0" xfId="0" applyFont="1" applyFill="1"/>
    <xf numFmtId="2" fontId="3" fillId="0" borderId="0" xfId="0" applyNumberFormat="1" applyFont="1"/>
    <xf numFmtId="0" fontId="4" fillId="31" borderId="16" xfId="0" applyFont="1" applyFill="1" applyBorder="1" applyAlignment="1">
      <alignment horizontal="center" vertical="center"/>
    </xf>
    <xf numFmtId="0" fontId="4" fillId="31" borderId="16" xfId="0" applyFont="1" applyFill="1" applyBorder="1" applyAlignment="1">
      <alignment horizontal="left" vertical="center"/>
    </xf>
    <xf numFmtId="1" fontId="4" fillId="31" borderId="16" xfId="0" applyNumberFormat="1" applyFont="1" applyFill="1" applyBorder="1" applyAlignment="1">
      <alignment horizontal="center" vertical="center"/>
    </xf>
    <xf numFmtId="170" fontId="4" fillId="31" borderId="16" xfId="2" applyNumberFormat="1" applyFont="1" applyFill="1" applyBorder="1" applyAlignment="1">
      <alignment horizontal="center" vertical="center"/>
    </xf>
    <xf numFmtId="169" fontId="4" fillId="31" borderId="16" xfId="2" applyNumberFormat="1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left" vertical="center"/>
    </xf>
    <xf numFmtId="44" fontId="4" fillId="31" borderId="16" xfId="2" applyFont="1" applyFill="1" applyBorder="1" applyAlignment="1">
      <alignment horizontal="center" vertical="center"/>
    </xf>
    <xf numFmtId="14" fontId="4" fillId="31" borderId="16" xfId="0" applyNumberFormat="1" applyFont="1" applyFill="1" applyBorder="1" applyAlignment="1">
      <alignment horizontal="center" vertical="center"/>
    </xf>
    <xf numFmtId="0" fontId="16" fillId="0" borderId="82" xfId="5" applyBorder="1" applyAlignment="1"/>
    <xf numFmtId="0" fontId="16" fillId="0" borderId="0" xfId="5"/>
    <xf numFmtId="0" fontId="29" fillId="0" borderId="16" xfId="0" applyFont="1" applyBorder="1"/>
    <xf numFmtId="0" fontId="36" fillId="2" borderId="83" xfId="10" applyFont="1" applyBorder="1"/>
    <xf numFmtId="0" fontId="36" fillId="2" borderId="84" xfId="10" applyFont="1" applyBorder="1"/>
    <xf numFmtId="0" fontId="36" fillId="2" borderId="85" xfId="10" applyFont="1" applyBorder="1"/>
    <xf numFmtId="0" fontId="36" fillId="2" borderId="4" xfId="10" applyFont="1" applyBorder="1"/>
    <xf numFmtId="0" fontId="36" fillId="2" borderId="61" xfId="10" applyFont="1" applyBorder="1"/>
    <xf numFmtId="0" fontId="37" fillId="2" borderId="47" xfId="10" quotePrefix="1" applyFont="1" applyBorder="1"/>
    <xf numFmtId="0" fontId="38" fillId="0" borderId="0" xfId="0" applyFont="1"/>
    <xf numFmtId="0" fontId="29" fillId="0" borderId="58" xfId="0" applyFont="1" applyFill="1" applyBorder="1"/>
    <xf numFmtId="0" fontId="29" fillId="15" borderId="16" xfId="0" applyFont="1" applyFill="1" applyBorder="1"/>
    <xf numFmtId="0" fontId="0" fillId="0" borderId="16" xfId="0" applyBorder="1"/>
    <xf numFmtId="0" fontId="28" fillId="0" borderId="16" xfId="0" applyFont="1" applyBorder="1"/>
    <xf numFmtId="0" fontId="29" fillId="0" borderId="16" xfId="0" applyFont="1" applyFill="1" applyBorder="1"/>
    <xf numFmtId="0" fontId="39" fillId="0" borderId="0" xfId="0" applyFont="1" applyAlignment="1">
      <alignment horizontal="left" vertical="center" indent="1"/>
    </xf>
    <xf numFmtId="0" fontId="40" fillId="21" borderId="0" xfId="0" applyFont="1" applyFill="1"/>
    <xf numFmtId="0" fontId="40" fillId="21" borderId="0" xfId="0" applyFont="1" applyFill="1" applyAlignment="1">
      <alignment wrapText="1"/>
    </xf>
    <xf numFmtId="0" fontId="4" fillId="0" borderId="0" xfId="0" applyFont="1"/>
    <xf numFmtId="167" fontId="0" fillId="0" borderId="0" xfId="0" applyNumberFormat="1"/>
    <xf numFmtId="0" fontId="41" fillId="3" borderId="0" xfId="6" applyFont="1" applyFill="1"/>
    <xf numFmtId="9" fontId="16" fillId="3" borderId="0" xfId="3" applyFont="1" applyFill="1"/>
    <xf numFmtId="0" fontId="25" fillId="0" borderId="0" xfId="0" applyFont="1" applyFill="1"/>
    <xf numFmtId="2" fontId="25" fillId="0" borderId="0" xfId="0" applyNumberFormat="1" applyFont="1"/>
    <xf numFmtId="14" fontId="24" fillId="31" borderId="16" xfId="0" applyNumberFormat="1" applyFont="1" applyFill="1" applyBorder="1" applyAlignment="1">
      <alignment horizontal="center" vertical="center"/>
    </xf>
    <xf numFmtId="14" fontId="24" fillId="31" borderId="58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0" borderId="16" xfId="0" applyFont="1" applyBorder="1"/>
    <xf numFmtId="0" fontId="42" fillId="0" borderId="5" xfId="0" applyFont="1" applyFill="1" applyBorder="1"/>
    <xf numFmtId="14" fontId="0" fillId="0" borderId="16" xfId="0" applyNumberFormat="1" applyBorder="1"/>
    <xf numFmtId="167" fontId="0" fillId="0" borderId="16" xfId="3" applyNumberFormat="1" applyFont="1" applyBorder="1"/>
    <xf numFmtId="44" fontId="0" fillId="0" borderId="16" xfId="2" applyFont="1" applyBorder="1"/>
    <xf numFmtId="0" fontId="0" fillId="0" borderId="16" xfId="2" applyNumberFormat="1" applyFont="1" applyBorder="1"/>
    <xf numFmtId="1" fontId="13" fillId="3" borderId="11" xfId="0" applyNumberFormat="1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16" borderId="32" xfId="0" applyFont="1" applyFill="1" applyBorder="1" applyAlignment="1">
      <alignment horizontal="center" vertical="center" wrapText="1"/>
    </xf>
    <xf numFmtId="0" fontId="16" fillId="0" borderId="0" xfId="5" applyNumberFormat="1"/>
    <xf numFmtId="0" fontId="0" fillId="0" borderId="0" xfId="0" applyNumberFormat="1"/>
    <xf numFmtId="0" fontId="16" fillId="0" borderId="0" xfId="3" applyNumberFormat="1" applyFont="1"/>
    <xf numFmtId="0" fontId="27" fillId="0" borderId="81" xfId="0" applyFont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1" fontId="13" fillId="3" borderId="11" xfId="0" applyNumberFormat="1" applyFont="1" applyFill="1" applyBorder="1" applyAlignment="1">
      <alignment horizontal="center" vertical="center" wrapText="1"/>
    </xf>
    <xf numFmtId="1" fontId="13" fillId="3" borderId="3" xfId="0" applyNumberFormat="1" applyFont="1" applyFill="1" applyBorder="1" applyAlignment="1">
      <alignment horizontal="center" vertical="center" wrapText="1"/>
    </xf>
    <xf numFmtId="1" fontId="11" fillId="14" borderId="11" xfId="0" applyNumberFormat="1" applyFont="1" applyFill="1" applyBorder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49" fontId="15" fillId="3" borderId="0" xfId="4" applyNumberFormat="1" applyFont="1" applyFill="1" applyBorder="1" applyAlignment="1">
      <alignment horizontal="center" vertical="center" wrapText="1"/>
    </xf>
    <xf numFmtId="1" fontId="13" fillId="16" borderId="2" xfId="0" applyNumberFormat="1" applyFont="1" applyFill="1" applyBorder="1" applyAlignment="1">
      <alignment horizontal="center" vertical="center" wrapText="1"/>
    </xf>
    <xf numFmtId="1" fontId="13" fillId="16" borderId="1" xfId="0" applyNumberFormat="1" applyFont="1" applyFill="1" applyBorder="1" applyAlignment="1">
      <alignment horizontal="center" vertical="center" wrapText="1"/>
    </xf>
    <xf numFmtId="1" fontId="13" fillId="16" borderId="12" xfId="0" applyNumberFormat="1" applyFont="1" applyFill="1" applyBorder="1" applyAlignment="1">
      <alignment horizontal="center" vertical="center" wrapText="1"/>
    </xf>
    <xf numFmtId="1" fontId="13" fillId="16" borderId="35" xfId="0" applyNumberFormat="1" applyFont="1" applyFill="1" applyBorder="1" applyAlignment="1">
      <alignment horizontal="center" vertical="center" wrapText="1"/>
    </xf>
    <xf numFmtId="1" fontId="13" fillId="16" borderId="36" xfId="0" applyNumberFormat="1" applyFont="1" applyFill="1" applyBorder="1" applyAlignment="1">
      <alignment horizontal="center" vertical="center" wrapText="1"/>
    </xf>
    <xf numFmtId="1" fontId="13" fillId="3" borderId="12" xfId="0" applyNumberFormat="1" applyFont="1" applyFill="1" applyBorder="1" applyAlignment="1">
      <alignment horizontal="center" vertical="center" wrapText="1"/>
    </xf>
    <xf numFmtId="1" fontId="11" fillId="10" borderId="14" xfId="0" applyNumberFormat="1" applyFont="1" applyFill="1" applyBorder="1" applyAlignment="1">
      <alignment horizontal="center" vertical="center"/>
    </xf>
    <xf numFmtId="1" fontId="11" fillId="10" borderId="13" xfId="0" applyNumberFormat="1" applyFont="1" applyFill="1" applyBorder="1" applyAlignment="1">
      <alignment horizontal="center" vertical="center"/>
    </xf>
    <xf numFmtId="1" fontId="11" fillId="11" borderId="14" xfId="0" applyNumberFormat="1" applyFont="1" applyFill="1" applyBorder="1" applyAlignment="1">
      <alignment horizontal="center" vertical="center"/>
    </xf>
    <xf numFmtId="1" fontId="11" fillId="11" borderId="13" xfId="0" applyNumberFormat="1" applyFont="1" applyFill="1" applyBorder="1" applyAlignment="1">
      <alignment horizontal="center" vertical="center"/>
    </xf>
    <xf numFmtId="1" fontId="11" fillId="12" borderId="14" xfId="0" applyNumberFormat="1" applyFont="1" applyFill="1" applyBorder="1" applyAlignment="1">
      <alignment horizontal="center" vertical="center"/>
    </xf>
    <xf numFmtId="1" fontId="11" fillId="12" borderId="13" xfId="0" applyNumberFormat="1" applyFont="1" applyFill="1" applyBorder="1" applyAlignment="1">
      <alignment horizontal="center" vertical="center"/>
    </xf>
    <xf numFmtId="1" fontId="11" fillId="13" borderId="3" xfId="0" applyNumberFormat="1" applyFont="1" applyFill="1" applyBorder="1" applyAlignment="1">
      <alignment horizontal="center" vertical="center"/>
    </xf>
    <xf numFmtId="1" fontId="11" fillId="13" borderId="13" xfId="0" applyNumberFormat="1" applyFont="1" applyFill="1" applyBorder="1" applyAlignment="1">
      <alignment horizontal="center" vertical="center"/>
    </xf>
    <xf numFmtId="1" fontId="11" fillId="13" borderId="14" xfId="0" applyNumberFormat="1" applyFont="1" applyFill="1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" fontId="10" fillId="5" borderId="11" xfId="0" applyNumberFormat="1" applyFont="1" applyFill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1" fontId="10" fillId="5" borderId="12" xfId="0" applyNumberFormat="1" applyFont="1" applyFill="1" applyBorder="1" applyAlignment="1">
      <alignment horizontal="center" vertical="center"/>
    </xf>
    <xf numFmtId="1" fontId="11" fillId="6" borderId="11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11" fillId="6" borderId="12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 wrapText="1"/>
    </xf>
    <xf numFmtId="1" fontId="11" fillId="6" borderId="12" xfId="0" applyNumberFormat="1" applyFont="1" applyFill="1" applyBorder="1" applyAlignment="1">
      <alignment horizontal="center" vertical="center" wrapText="1"/>
    </xf>
    <xf numFmtId="1" fontId="11" fillId="7" borderId="11" xfId="0" applyNumberFormat="1" applyFont="1" applyFill="1" applyBorder="1" applyAlignment="1">
      <alignment horizontal="center" vertical="center" wrapText="1"/>
    </xf>
    <xf numFmtId="1" fontId="11" fillId="7" borderId="1" xfId="0" applyNumberFormat="1" applyFont="1" applyFill="1" applyBorder="1" applyAlignment="1">
      <alignment horizontal="center" vertical="center" wrapText="1"/>
    </xf>
    <xf numFmtId="1" fontId="11" fillId="7" borderId="12" xfId="0" applyNumberFormat="1" applyFont="1" applyFill="1" applyBorder="1" applyAlignment="1">
      <alignment horizontal="center" vertical="center" wrapText="1"/>
    </xf>
    <xf numFmtId="1" fontId="11" fillId="8" borderId="11" xfId="0" applyNumberFormat="1" applyFont="1" applyFill="1" applyBorder="1" applyAlignment="1">
      <alignment horizontal="center" vertical="center"/>
    </xf>
    <xf numFmtId="1" fontId="11" fillId="8" borderId="1" xfId="0" applyNumberFormat="1" applyFont="1" applyFill="1" applyBorder="1" applyAlignment="1">
      <alignment horizontal="center" vertical="center"/>
    </xf>
    <xf numFmtId="1" fontId="11" fillId="8" borderId="12" xfId="0" applyNumberFormat="1" applyFont="1" applyFill="1" applyBorder="1" applyAlignment="1">
      <alignment horizontal="center" vertical="center"/>
    </xf>
    <xf numFmtId="1" fontId="11" fillId="9" borderId="14" xfId="0" applyNumberFormat="1" applyFont="1" applyFill="1" applyBorder="1" applyAlignment="1">
      <alignment horizontal="center" vertical="center"/>
    </xf>
    <xf numFmtId="1" fontId="11" fillId="9" borderId="13" xfId="0" applyNumberFormat="1" applyFont="1" applyFill="1" applyBorder="1" applyAlignment="1">
      <alignment horizontal="center" vertical="center"/>
    </xf>
    <xf numFmtId="0" fontId="32" fillId="6" borderId="2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14" fontId="32" fillId="6" borderId="1" xfId="0" applyNumberFormat="1" applyFont="1" applyFill="1" applyBorder="1" applyAlignment="1">
      <alignment horizontal="center" vertical="top"/>
    </xf>
    <xf numFmtId="0" fontId="32" fillId="6" borderId="3" xfId="0" applyFont="1" applyFill="1" applyBorder="1" applyAlignment="1">
      <alignment horizontal="center" vertical="top"/>
    </xf>
    <xf numFmtId="0" fontId="32" fillId="5" borderId="1" xfId="0" applyFont="1" applyFill="1" applyBorder="1" applyAlignment="1">
      <alignment horizontal="center"/>
    </xf>
    <xf numFmtId="0" fontId="32" fillId="5" borderId="3" xfId="0" applyFont="1" applyFill="1" applyBorder="1" applyAlignment="1">
      <alignment horizontal="center"/>
    </xf>
    <xf numFmtId="0" fontId="32" fillId="24" borderId="2" xfId="0" applyFont="1" applyFill="1" applyBorder="1" applyAlignment="1">
      <alignment horizontal="center"/>
    </xf>
    <xf numFmtId="0" fontId="32" fillId="24" borderId="1" xfId="0" applyFont="1" applyFill="1" applyBorder="1" applyAlignment="1">
      <alignment horizontal="center"/>
    </xf>
    <xf numFmtId="0" fontId="32" fillId="24" borderId="3" xfId="0" applyFont="1" applyFill="1" applyBorder="1" applyAlignment="1">
      <alignment horizontal="center"/>
    </xf>
    <xf numFmtId="0" fontId="32" fillId="25" borderId="2" xfId="0" applyFont="1" applyFill="1" applyBorder="1" applyAlignment="1">
      <alignment horizontal="center"/>
    </xf>
    <xf numFmtId="0" fontId="32" fillId="25" borderId="1" xfId="0" applyFont="1" applyFill="1" applyBorder="1" applyAlignment="1">
      <alignment horizontal="center"/>
    </xf>
    <xf numFmtId="169" fontId="32" fillId="25" borderId="3" xfId="0" applyNumberFormat="1" applyFont="1" applyFill="1" applyBorder="1" applyAlignment="1">
      <alignment horizontal="center"/>
    </xf>
    <xf numFmtId="0" fontId="34" fillId="26" borderId="2" xfId="0" applyFont="1" applyFill="1" applyBorder="1" applyAlignment="1">
      <alignment horizontal="center"/>
    </xf>
    <xf numFmtId="0" fontId="34" fillId="26" borderId="1" xfId="0" applyFont="1" applyFill="1" applyBorder="1" applyAlignment="1">
      <alignment horizontal="center"/>
    </xf>
    <xf numFmtId="0" fontId="34" fillId="26" borderId="3" xfId="0" applyFont="1" applyFill="1" applyBorder="1" applyAlignment="1">
      <alignment horizontal="center"/>
    </xf>
    <xf numFmtId="0" fontId="32" fillId="27" borderId="1" xfId="0" applyFont="1" applyFill="1" applyBorder="1" applyAlignment="1">
      <alignment horizontal="center"/>
    </xf>
    <xf numFmtId="0" fontId="32" fillId="27" borderId="3" xfId="0" applyFont="1" applyFill="1" applyBorder="1" applyAlignment="1">
      <alignment horizontal="center"/>
    </xf>
    <xf numFmtId="0" fontId="2" fillId="21" borderId="64" xfId="6" applyFont="1" applyFill="1" applyBorder="1" applyAlignment="1">
      <alignment horizontal="center" vertical="center"/>
    </xf>
    <xf numFmtId="0" fontId="2" fillId="21" borderId="34" xfId="6" applyFont="1" applyFill="1" applyBorder="1" applyAlignment="1">
      <alignment horizontal="center" vertical="center"/>
    </xf>
    <xf numFmtId="167" fontId="4" fillId="3" borderId="62" xfId="3" applyNumberFormat="1" applyFont="1" applyFill="1" applyBorder="1" applyAlignment="1">
      <alignment horizontal="center" vertical="center"/>
    </xf>
    <xf numFmtId="167" fontId="4" fillId="3" borderId="0" xfId="3" applyNumberFormat="1" applyFont="1" applyFill="1" applyBorder="1" applyAlignment="1">
      <alignment horizontal="center" vertical="center"/>
    </xf>
    <xf numFmtId="167" fontId="4" fillId="3" borderId="40" xfId="3" applyNumberFormat="1" applyFont="1" applyFill="1" applyBorder="1" applyAlignment="1">
      <alignment horizontal="center" vertical="center"/>
    </xf>
    <xf numFmtId="167" fontId="4" fillId="3" borderId="44" xfId="3" applyNumberFormat="1" applyFont="1" applyFill="1" applyBorder="1" applyAlignment="1">
      <alignment horizontal="center" vertical="center"/>
    </xf>
    <xf numFmtId="167" fontId="4" fillId="3" borderId="10" xfId="3" applyNumberFormat="1" applyFont="1" applyFill="1" applyBorder="1" applyAlignment="1">
      <alignment horizontal="center" vertical="center"/>
    </xf>
    <xf numFmtId="167" fontId="4" fillId="3" borderId="59" xfId="3" applyNumberFormat="1" applyFont="1" applyFill="1" applyBorder="1" applyAlignment="1">
      <alignment horizontal="center" vertical="center"/>
    </xf>
    <xf numFmtId="167" fontId="4" fillId="3" borderId="65" xfId="3" applyNumberFormat="1" applyFont="1" applyFill="1" applyBorder="1" applyAlignment="1">
      <alignment horizontal="center" vertical="center"/>
    </xf>
    <xf numFmtId="167" fontId="4" fillId="3" borderId="23" xfId="3" applyNumberFormat="1" applyFont="1" applyFill="1" applyBorder="1" applyAlignment="1">
      <alignment horizontal="center" vertical="center"/>
    </xf>
    <xf numFmtId="167" fontId="4" fillId="3" borderId="21" xfId="3" applyNumberFormat="1" applyFont="1" applyFill="1" applyBorder="1" applyAlignment="1">
      <alignment horizontal="center" vertical="center"/>
    </xf>
    <xf numFmtId="167" fontId="4" fillId="3" borderId="66" xfId="3" applyNumberFormat="1" applyFont="1" applyFill="1" applyBorder="1" applyAlignment="1">
      <alignment horizontal="center" vertical="center"/>
    </xf>
    <xf numFmtId="167" fontId="4" fillId="3" borderId="77" xfId="3" applyNumberFormat="1" applyFont="1" applyFill="1" applyBorder="1" applyAlignment="1">
      <alignment horizontal="center" vertical="center"/>
    </xf>
    <xf numFmtId="167" fontId="4" fillId="3" borderId="78" xfId="3" applyNumberFormat="1" applyFont="1" applyFill="1" applyBorder="1" applyAlignment="1">
      <alignment horizontal="center" vertical="center"/>
    </xf>
    <xf numFmtId="167" fontId="4" fillId="3" borderId="79" xfId="3" applyNumberFormat="1" applyFont="1" applyFill="1" applyBorder="1" applyAlignment="1">
      <alignment horizontal="center" vertical="center"/>
    </xf>
    <xf numFmtId="167" fontId="4" fillId="3" borderId="80" xfId="3" applyNumberFormat="1" applyFont="1" applyFill="1" applyBorder="1" applyAlignment="1">
      <alignment horizontal="center" vertical="center"/>
    </xf>
    <xf numFmtId="0" fontId="23" fillId="3" borderId="10" xfId="6" applyFont="1" applyFill="1" applyBorder="1" applyAlignment="1">
      <alignment horizontal="center" vertical="top"/>
    </xf>
    <xf numFmtId="0" fontId="4" fillId="3" borderId="60" xfId="6" applyFont="1" applyFill="1" applyBorder="1" applyAlignment="1">
      <alignment horizontal="center" vertical="center"/>
    </xf>
    <xf numFmtId="0" fontId="4" fillId="3" borderId="62" xfId="6" applyFont="1" applyFill="1" applyBorder="1" applyAlignment="1">
      <alignment horizontal="center" vertical="center"/>
    </xf>
    <xf numFmtId="0" fontId="4" fillId="3" borderId="44" xfId="6" applyFont="1" applyFill="1" applyBorder="1" applyAlignment="1">
      <alignment horizontal="center" vertical="center"/>
    </xf>
    <xf numFmtId="0" fontId="4" fillId="3" borderId="61" xfId="6" applyFont="1" applyFill="1" applyBorder="1" applyAlignment="1">
      <alignment horizontal="center" vertical="center"/>
    </xf>
    <xf numFmtId="0" fontId="4" fillId="3" borderId="33" xfId="6" applyFont="1" applyFill="1" applyBorder="1" applyAlignment="1">
      <alignment horizontal="center" vertical="center"/>
    </xf>
    <xf numFmtId="0" fontId="4" fillId="3" borderId="10" xfId="6" applyFont="1" applyFill="1" applyBorder="1" applyAlignment="1">
      <alignment horizontal="center" vertical="center"/>
    </xf>
    <xf numFmtId="0" fontId="4" fillId="3" borderId="5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 wrapText="1"/>
    </xf>
    <xf numFmtId="0" fontId="4" fillId="3" borderId="61" xfId="6" applyFont="1" applyFill="1" applyBorder="1" applyAlignment="1">
      <alignment horizontal="center" vertical="center" wrapText="1"/>
    </xf>
    <xf numFmtId="0" fontId="4" fillId="3" borderId="33" xfId="6" applyFont="1" applyFill="1" applyBorder="1" applyAlignment="1">
      <alignment horizontal="center" vertical="center" wrapText="1"/>
    </xf>
    <xf numFmtId="0" fontId="4" fillId="3" borderId="44" xfId="6" applyFont="1" applyFill="1" applyBorder="1" applyAlignment="1">
      <alignment horizontal="center" vertical="center" wrapText="1"/>
    </xf>
    <xf numFmtId="0" fontId="4" fillId="3" borderId="10" xfId="6" applyFont="1" applyFill="1" applyBorder="1" applyAlignment="1">
      <alignment horizontal="center" vertical="center" wrapText="1"/>
    </xf>
    <xf numFmtId="0" fontId="4" fillId="3" borderId="59" xfId="6" applyFont="1" applyFill="1" applyBorder="1" applyAlignment="1">
      <alignment horizontal="center" vertical="center" wrapText="1"/>
    </xf>
  </cellXfs>
  <cellStyles count="11">
    <cellStyle name="20% - Accent1 2 10 3" xfId="10" xr:uid="{00000000-0005-0000-0000-000000000000}"/>
    <cellStyle name="Comma" xfId="1" builtinId="3"/>
    <cellStyle name="Currency" xfId="2" builtinId="4"/>
    <cellStyle name="Currency 15" xfId="9" xr:uid="{00000000-0005-0000-0000-000003000000}"/>
    <cellStyle name="Normal" xfId="0" builtinId="0"/>
    <cellStyle name="Normal 19" xfId="6" xr:uid="{00000000-0005-0000-0000-000005000000}"/>
    <cellStyle name="Normal 2" xfId="5" xr:uid="{00000000-0005-0000-0000-000006000000}"/>
    <cellStyle name="Normal 2 10" xfId="4" xr:uid="{00000000-0005-0000-0000-000007000000}"/>
    <cellStyle name="Normal 46" xfId="8" xr:uid="{00000000-0005-0000-0000-000008000000}"/>
    <cellStyle name="Normal 57" xfId="7" xr:uid="{00000000-0005-0000-0000-000009000000}"/>
    <cellStyle name="Percent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1539874</xdr:colOff>
      <xdr:row>4</xdr:row>
      <xdr:rowOff>10044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24000" cy="7815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42"/>
  <sheetViews>
    <sheetView topLeftCell="B1" workbookViewId="0">
      <selection activeCell="F9" sqref="F9"/>
    </sheetView>
  </sheetViews>
  <sheetFormatPr defaultRowHeight="15" x14ac:dyDescent="0.25"/>
  <cols>
    <col min="1" max="1" width="34.140625" hidden="1" customWidth="1"/>
    <col min="2" max="2" width="38.140625" bestFit="1" customWidth="1"/>
    <col min="3" max="3" width="38.140625" customWidth="1"/>
    <col min="4" max="4" width="8" customWidth="1"/>
    <col min="5" max="5" width="27.28515625" bestFit="1" customWidth="1"/>
    <col min="6" max="6" width="35.7109375" customWidth="1"/>
    <col min="7" max="7" width="35.140625" customWidth="1"/>
    <col min="8" max="8" width="20" customWidth="1"/>
    <col min="9" max="9" width="33.5703125" bestFit="1" customWidth="1"/>
    <col min="10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35">
      <c r="A1" t="s">
        <v>246</v>
      </c>
      <c r="B1" s="272" t="s">
        <v>125</v>
      </c>
      <c r="C1" s="273"/>
      <c r="D1" s="273" t="s">
        <v>247</v>
      </c>
      <c r="E1" s="273" t="s">
        <v>248</v>
      </c>
      <c r="F1" s="274" t="s">
        <v>249</v>
      </c>
      <c r="G1" s="274" t="s">
        <v>250</v>
      </c>
      <c r="H1" s="275" t="s">
        <v>251</v>
      </c>
      <c r="I1" s="274" t="s">
        <v>195</v>
      </c>
      <c r="J1" s="276" t="s">
        <v>252</v>
      </c>
      <c r="K1" s="277" t="s">
        <v>38</v>
      </c>
      <c r="L1" s="275" t="s">
        <v>253</v>
      </c>
      <c r="M1" s="275" t="s">
        <v>254</v>
      </c>
    </row>
    <row r="2" spans="1:14" s="278" customFormat="1" ht="28.5" customHeight="1" x14ac:dyDescent="0.2">
      <c r="A2" s="278" t="str">
        <f>B2&amp;D2</f>
        <v>Product Entered Workflow0</v>
      </c>
      <c r="B2" s="271" t="s">
        <v>160</v>
      </c>
      <c r="C2" s="271" t="s">
        <v>18</v>
      </c>
      <c r="D2" s="271">
        <v>0</v>
      </c>
      <c r="E2" s="271"/>
      <c r="F2" s="271" t="s">
        <v>19</v>
      </c>
      <c r="G2" s="271" t="s">
        <v>19</v>
      </c>
      <c r="H2" s="271" t="s">
        <v>59</v>
      </c>
      <c r="I2" s="271" t="s">
        <v>160</v>
      </c>
      <c r="J2" s="271" t="str">
        <f>SUBSTITUTE(ADDRESS(1,MATCH(I2,'Details-Products'!$A$7:$CN$7,0),4),"1","")</f>
        <v>AK</v>
      </c>
      <c r="K2" s="271">
        <v>1</v>
      </c>
      <c r="L2" s="271">
        <v>19</v>
      </c>
      <c r="M2" s="271">
        <v>1</v>
      </c>
    </row>
    <row r="3" spans="1:14" s="278" customFormat="1" ht="28.5" customHeight="1" x14ac:dyDescent="0.2">
      <c r="A3" s="278" t="str">
        <f t="shared" ref="A3:A9" si="0">B3&amp;D3</f>
        <v>MAH Task Complete0</v>
      </c>
      <c r="B3" s="271" t="s">
        <v>236</v>
      </c>
      <c r="C3" s="271" t="s">
        <v>19</v>
      </c>
      <c r="D3" s="271">
        <v>0</v>
      </c>
      <c r="E3" s="271"/>
      <c r="F3" s="271" t="s">
        <v>19</v>
      </c>
      <c r="G3" s="271" t="s">
        <v>19</v>
      </c>
      <c r="H3" s="271" t="s">
        <v>59</v>
      </c>
      <c r="I3" s="271" t="s">
        <v>108</v>
      </c>
      <c r="J3" s="271" t="str">
        <f>SUBSTITUTE(ADDRESS(1,MATCH(I3,'Details-Products'!$A$7:$CN$7,0),4),"1","")</f>
        <v>AP</v>
      </c>
      <c r="K3" s="271">
        <v>5</v>
      </c>
      <c r="L3" s="271">
        <v>17</v>
      </c>
      <c r="M3" s="271">
        <v>1</v>
      </c>
    </row>
    <row r="4" spans="1:14" s="278" customFormat="1" ht="28.5" customHeight="1" x14ac:dyDescent="0.2">
      <c r="A4" s="278" t="str">
        <f t="shared" si="0"/>
        <v>Turn In Task Complete0</v>
      </c>
      <c r="B4" s="271" t="s">
        <v>235</v>
      </c>
      <c r="C4" s="271" t="s">
        <v>20</v>
      </c>
      <c r="D4" s="271">
        <v>0</v>
      </c>
      <c r="E4" s="271"/>
      <c r="F4" s="271" t="s">
        <v>20</v>
      </c>
      <c r="G4" s="271"/>
      <c r="H4" s="271" t="s">
        <v>59</v>
      </c>
      <c r="I4" s="271" t="s">
        <v>165</v>
      </c>
      <c r="J4" s="271" t="str">
        <f>SUBSTITUTE(ADDRESS(1,MATCH(I4,'Details-Products'!$A$7:$CN$7,0),4),"1","")</f>
        <v>AS</v>
      </c>
      <c r="K4" s="271">
        <v>2</v>
      </c>
      <c r="L4" s="271">
        <v>12</v>
      </c>
      <c r="M4" s="271"/>
    </row>
    <row r="5" spans="1:14" s="278" customFormat="1" ht="28.5" customHeight="1" x14ac:dyDescent="0.25">
      <c r="A5" s="278" t="str">
        <f t="shared" si="0"/>
        <v>Studio Sample Received Check Complete0</v>
      </c>
      <c r="B5" t="s">
        <v>241</v>
      </c>
      <c r="C5" s="271" t="s">
        <v>20</v>
      </c>
      <c r="D5" s="279">
        <v>0</v>
      </c>
      <c r="E5" s="271"/>
      <c r="F5" s="271" t="s">
        <v>20</v>
      </c>
      <c r="G5" s="271"/>
      <c r="H5" s="271" t="s">
        <v>59</v>
      </c>
      <c r="I5" s="271" t="s">
        <v>165</v>
      </c>
      <c r="J5" s="271" t="str">
        <f>SUBSTITUTE(ADDRESS(1,MATCH(I5,'Details-Products'!$A$7:$CN$7,0),4),"1","")</f>
        <v>AS</v>
      </c>
      <c r="K5" s="271">
        <v>2</v>
      </c>
      <c r="L5" s="271">
        <v>12</v>
      </c>
      <c r="M5" s="271"/>
    </row>
    <row r="6" spans="1:14" s="278" customFormat="1" ht="28.5" customHeight="1" x14ac:dyDescent="0.2">
      <c r="A6" s="278" t="str">
        <f t="shared" si="0"/>
        <v>Copy Attributes Task Complete0</v>
      </c>
      <c r="B6" s="280" t="s">
        <v>243</v>
      </c>
      <c r="C6" s="271" t="s">
        <v>22</v>
      </c>
      <c r="D6" s="280">
        <v>0</v>
      </c>
      <c r="E6" s="280" t="s">
        <v>255</v>
      </c>
      <c r="F6" s="271" t="s">
        <v>22</v>
      </c>
      <c r="G6" s="271" t="s">
        <v>256</v>
      </c>
      <c r="H6" s="271" t="s">
        <v>60</v>
      </c>
      <c r="I6" s="271" t="s">
        <v>165</v>
      </c>
      <c r="J6" s="271" t="str">
        <f>SUBSTITUTE(ADDRESS(1,MATCH(I6,'Details-Products'!$A$7:$CN$7,0),4),"1","")</f>
        <v>AS</v>
      </c>
      <c r="K6" s="271">
        <v>5</v>
      </c>
      <c r="L6" s="271">
        <v>10</v>
      </c>
      <c r="M6" s="271"/>
    </row>
    <row r="7" spans="1:14" s="278" customFormat="1" ht="28.5" customHeight="1" x14ac:dyDescent="0.2">
      <c r="A7" s="278" t="str">
        <f t="shared" si="0"/>
        <v>Copy Attributes Task Complete1</v>
      </c>
      <c r="B7" s="271" t="s">
        <v>243</v>
      </c>
      <c r="C7" s="271" t="s">
        <v>24</v>
      </c>
      <c r="D7" s="271">
        <v>1</v>
      </c>
      <c r="E7" s="271" t="s">
        <v>257</v>
      </c>
      <c r="F7" s="271" t="s">
        <v>24</v>
      </c>
      <c r="G7" s="271"/>
      <c r="H7" s="271" t="s">
        <v>258</v>
      </c>
      <c r="I7" s="271" t="s">
        <v>169</v>
      </c>
      <c r="J7" s="271" t="str">
        <f>SUBSTITUTE(ADDRESS(1,MATCH(I7,'Details-Products'!$A$7:$CN$7,0),4),"1","")</f>
        <v>AX</v>
      </c>
      <c r="K7" s="271">
        <v>2</v>
      </c>
      <c r="L7" s="271">
        <v>3</v>
      </c>
      <c r="M7" s="271"/>
    </row>
    <row r="8" spans="1:14" s="278" customFormat="1" ht="28.5" customHeight="1" x14ac:dyDescent="0.2">
      <c r="A8" s="278" t="str">
        <f t="shared" si="0"/>
        <v>Final Copy Task Complete0</v>
      </c>
      <c r="B8" s="280" t="s">
        <v>242</v>
      </c>
      <c r="C8" s="271" t="s">
        <v>23</v>
      </c>
      <c r="D8" s="280">
        <v>0</v>
      </c>
      <c r="E8" s="280" t="s">
        <v>259</v>
      </c>
      <c r="F8" s="271" t="s">
        <v>23</v>
      </c>
      <c r="G8" s="271" t="s">
        <v>61</v>
      </c>
      <c r="H8" s="271" t="s">
        <v>61</v>
      </c>
      <c r="I8" s="271" t="s">
        <v>169</v>
      </c>
      <c r="J8" s="271" t="str">
        <f>SUBSTITUTE(ADDRESS(1,MATCH(I8,'Details-Products'!$A$7:$CN$7,0),4),"1","")</f>
        <v>AX</v>
      </c>
      <c r="K8" s="271">
        <v>1</v>
      </c>
      <c r="L8" s="271">
        <v>6</v>
      </c>
      <c r="M8" s="271"/>
    </row>
    <row r="9" spans="1:14" s="278" customFormat="1" ht="28.5" customHeight="1" x14ac:dyDescent="0.2">
      <c r="A9" s="278" t="str">
        <f t="shared" si="0"/>
        <v>Final Copy Task Complete1</v>
      </c>
      <c r="B9" s="271" t="s">
        <v>242</v>
      </c>
      <c r="C9" s="271" t="s">
        <v>26</v>
      </c>
      <c r="D9" s="271">
        <v>1</v>
      </c>
      <c r="E9" s="271" t="s">
        <v>259</v>
      </c>
      <c r="F9" s="271" t="s">
        <v>26</v>
      </c>
      <c r="G9" s="271"/>
      <c r="H9" s="271" t="s">
        <v>63</v>
      </c>
      <c r="I9" s="271" t="s">
        <v>170</v>
      </c>
      <c r="J9" s="271" t="str">
        <f>SUBSTITUTE(ADDRESS(1,MATCH(I9,'Details-Products'!$A$7:$CN$7,0),4),"1","")</f>
        <v>AY</v>
      </c>
      <c r="K9" s="271">
        <v>1</v>
      </c>
      <c r="L9" s="271">
        <v>1</v>
      </c>
      <c r="M9" s="271"/>
    </row>
    <row r="10" spans="1:14" x14ac:dyDescent="0.25">
      <c r="B10" s="271" t="s">
        <v>237</v>
      </c>
      <c r="C10" s="271" t="str">
        <f>B10</f>
        <v>Fur Attributes Task Complete</v>
      </c>
      <c r="D10" s="271"/>
      <c r="E10" s="271" t="s">
        <v>0</v>
      </c>
      <c r="F10" s="271" t="s">
        <v>24</v>
      </c>
      <c r="G10" s="271"/>
      <c r="H10" s="271" t="s">
        <v>258</v>
      </c>
      <c r="I10" s="271" t="s">
        <v>170</v>
      </c>
      <c r="J10" s="271"/>
      <c r="K10" s="271"/>
      <c r="L10" s="271">
        <v>3</v>
      </c>
      <c r="M10" s="271"/>
      <c r="N10" s="278"/>
    </row>
    <row r="11" spans="1:14" x14ac:dyDescent="0.25">
      <c r="B11" s="271" t="s">
        <v>244</v>
      </c>
      <c r="C11" s="271" t="str">
        <f t="shared" ref="C11:C20" si="1">B11</f>
        <v>Translation Task Complete</v>
      </c>
      <c r="D11" s="271"/>
      <c r="E11" s="271"/>
      <c r="F11" s="271" t="s">
        <v>26</v>
      </c>
      <c r="G11" s="271"/>
      <c r="H11" s="271" t="s">
        <v>63</v>
      </c>
      <c r="I11" s="271" t="s">
        <v>170</v>
      </c>
      <c r="J11" s="271"/>
      <c r="K11" s="271"/>
      <c r="L11" s="271">
        <v>1</v>
      </c>
      <c r="M11" s="271"/>
    </row>
    <row r="12" spans="1:14" x14ac:dyDescent="0.25">
      <c r="B12" s="271" t="s">
        <v>234</v>
      </c>
      <c r="C12" s="271" t="str">
        <f t="shared" si="1"/>
        <v>Item Set Up Task Complete</v>
      </c>
      <c r="D12" s="271"/>
      <c r="E12" s="271"/>
      <c r="F12" s="271" t="s">
        <v>27</v>
      </c>
      <c r="G12" s="271"/>
      <c r="H12" s="271" t="s">
        <v>63</v>
      </c>
      <c r="I12" s="271" t="s">
        <v>0</v>
      </c>
      <c r="J12" s="271"/>
      <c r="K12" s="271"/>
      <c r="L12" s="271">
        <v>1</v>
      </c>
      <c r="M12" s="271"/>
    </row>
    <row r="13" spans="1:14" x14ac:dyDescent="0.25">
      <c r="B13" s="271" t="s">
        <v>245</v>
      </c>
      <c r="C13" s="271" t="str">
        <f t="shared" si="1"/>
        <v>Fur Approval Task Complete</v>
      </c>
      <c r="D13" s="271"/>
      <c r="E13" s="271"/>
      <c r="F13" s="271" t="s">
        <v>27</v>
      </c>
      <c r="G13" s="271"/>
      <c r="H13" s="271" t="s">
        <v>63</v>
      </c>
      <c r="I13" s="271"/>
      <c r="J13" s="271"/>
      <c r="K13" s="271"/>
      <c r="L13" s="271">
        <v>1</v>
      </c>
      <c r="M13" s="271"/>
    </row>
    <row r="14" spans="1:14" x14ac:dyDescent="0.25">
      <c r="B14" s="271" t="s">
        <v>27</v>
      </c>
      <c r="C14" s="271" t="str">
        <f t="shared" si="1"/>
        <v>Workflow Complete</v>
      </c>
      <c r="D14" s="271"/>
      <c r="E14" s="271"/>
      <c r="F14" s="271" t="s">
        <v>27</v>
      </c>
      <c r="G14" s="271"/>
      <c r="H14" s="271" t="s">
        <v>63</v>
      </c>
      <c r="I14" s="271"/>
      <c r="J14" s="271"/>
      <c r="K14" s="271"/>
      <c r="L14" s="271">
        <v>1</v>
      </c>
      <c r="M14" s="271"/>
    </row>
    <row r="15" spans="1:14" x14ac:dyDescent="0.25">
      <c r="B15" s="271" t="s">
        <v>238</v>
      </c>
      <c r="C15" s="271" t="str">
        <f t="shared" si="1"/>
        <v>Fur Workflow Complete</v>
      </c>
      <c r="D15" s="271"/>
      <c r="E15" s="271"/>
      <c r="F15" s="271" t="s">
        <v>27</v>
      </c>
      <c r="G15" s="271"/>
      <c r="H15" s="271" t="s">
        <v>63</v>
      </c>
      <c r="I15" s="271"/>
      <c r="J15" s="271"/>
      <c r="K15" s="271"/>
      <c r="L15" s="271">
        <v>1</v>
      </c>
      <c r="M15" s="271"/>
    </row>
    <row r="16" spans="1:14" x14ac:dyDescent="0.25">
      <c r="B16" s="218" t="s">
        <v>25</v>
      </c>
      <c r="C16" s="271" t="str">
        <f>B16</f>
        <v>Rollup Product Workflow</v>
      </c>
      <c r="D16" s="271"/>
      <c r="E16" s="271"/>
      <c r="F16" s="281" t="str">
        <f>B16</f>
        <v>Rollup Product Workflow</v>
      </c>
      <c r="G16" s="281"/>
      <c r="H16" s="271" t="s">
        <v>63</v>
      </c>
      <c r="I16" s="281"/>
      <c r="J16" s="281"/>
      <c r="K16" s="281"/>
      <c r="L16" s="281"/>
      <c r="M16" s="281"/>
    </row>
    <row r="17" spans="2:16" x14ac:dyDescent="0.25">
      <c r="B17" s="218" t="s">
        <v>3</v>
      </c>
      <c r="C17" s="271" t="str">
        <f t="shared" si="1"/>
        <v>C-Status</v>
      </c>
      <c r="D17" s="271"/>
      <c r="E17" s="271"/>
      <c r="F17" s="281" t="str">
        <f>B17</f>
        <v>C-Status</v>
      </c>
      <c r="G17" s="281"/>
      <c r="H17" s="271" t="s">
        <v>57</v>
      </c>
      <c r="I17" s="281"/>
      <c r="J17" s="281"/>
      <c r="K17" s="281"/>
      <c r="L17" s="281"/>
      <c r="M17" s="281"/>
    </row>
    <row r="18" spans="2:16" x14ac:dyDescent="0.25">
      <c r="B18" s="218" t="s">
        <v>4</v>
      </c>
      <c r="C18" s="271" t="str">
        <f t="shared" si="1"/>
        <v>Sell off</v>
      </c>
      <c r="D18" s="271"/>
      <c r="E18" s="271"/>
      <c r="F18" s="281" t="str">
        <f>B18</f>
        <v>Sell off</v>
      </c>
      <c r="G18" s="281"/>
      <c r="H18" s="271" t="s">
        <v>57</v>
      </c>
      <c r="I18" s="281"/>
      <c r="J18" s="281"/>
      <c r="K18" s="281"/>
      <c r="L18" s="281"/>
      <c r="M18" s="281"/>
    </row>
    <row r="19" spans="2:16" x14ac:dyDescent="0.25">
      <c r="B19" s="218" t="s">
        <v>17</v>
      </c>
      <c r="C19" s="271" t="str">
        <f t="shared" si="1"/>
        <v>Not Flagged for eCOM</v>
      </c>
      <c r="D19" s="271"/>
      <c r="E19" s="271"/>
      <c r="F19" s="281" t="str">
        <f>B19</f>
        <v>Not Flagged for eCOM</v>
      </c>
      <c r="G19" s="281"/>
      <c r="H19" s="271" t="s">
        <v>57</v>
      </c>
      <c r="I19" s="281"/>
      <c r="J19" s="281"/>
      <c r="K19" s="281"/>
      <c r="L19" s="281"/>
      <c r="M19" s="281"/>
    </row>
    <row r="20" spans="2:16" x14ac:dyDescent="0.25">
      <c r="B20" s="218" t="s">
        <v>16</v>
      </c>
      <c r="C20" s="271" t="str">
        <f t="shared" si="1"/>
        <v>Exception</v>
      </c>
      <c r="D20" s="271"/>
      <c r="E20" s="271"/>
      <c r="F20" s="281" t="str">
        <f>B20</f>
        <v>Exception</v>
      </c>
      <c r="G20" s="281"/>
      <c r="H20" s="271" t="s">
        <v>57</v>
      </c>
      <c r="I20" s="281"/>
      <c r="J20" s="281"/>
      <c r="K20" s="281"/>
      <c r="L20" s="281"/>
      <c r="M20" s="281"/>
    </row>
    <row r="21" spans="2:16" x14ac:dyDescent="0.25">
      <c r="B21" s="282">
        <v>0</v>
      </c>
      <c r="C21" s="282">
        <v>0</v>
      </c>
      <c r="D21" s="281"/>
      <c r="E21" s="281"/>
      <c r="F21" s="281" t="s">
        <v>21</v>
      </c>
      <c r="G21" s="281"/>
      <c r="H21" s="283" t="s">
        <v>59</v>
      </c>
      <c r="I21" s="281"/>
      <c r="J21" s="281"/>
      <c r="K21" s="281"/>
      <c r="L21" s="281"/>
      <c r="M21" s="281"/>
    </row>
    <row r="22" spans="2:16" ht="15.75" x14ac:dyDescent="0.25">
      <c r="B22" s="219"/>
      <c r="C22" s="284"/>
    </row>
    <row r="23" spans="2:16" ht="15.75" x14ac:dyDescent="0.25">
      <c r="B23" s="219"/>
      <c r="C23" s="284"/>
    </row>
    <row r="24" spans="2:16" ht="15.75" x14ac:dyDescent="0.25">
      <c r="B24" s="219"/>
      <c r="C24" s="284"/>
    </row>
    <row r="25" spans="2:16" ht="52.5" customHeight="1" x14ac:dyDescent="0.35">
      <c r="B25" s="219"/>
      <c r="C25" s="284"/>
      <c r="H25" s="285" t="s">
        <v>260</v>
      </c>
      <c r="I25" s="285"/>
      <c r="J25" s="285"/>
      <c r="K25" s="285" t="s">
        <v>128</v>
      </c>
      <c r="L25" s="286" t="s">
        <v>129</v>
      </c>
      <c r="M25" s="285" t="s">
        <v>261</v>
      </c>
      <c r="N25" s="285" t="s">
        <v>130</v>
      </c>
      <c r="O25" s="285"/>
      <c r="P25" s="285"/>
    </row>
    <row r="26" spans="2:16" ht="15.75" x14ac:dyDescent="0.25">
      <c r="C26" s="284"/>
      <c r="H26" t="s">
        <v>198</v>
      </c>
      <c r="K26" t="s">
        <v>80</v>
      </c>
      <c r="L26" t="s">
        <v>150</v>
      </c>
      <c r="M26" t="s">
        <v>262</v>
      </c>
      <c r="N26" t="s">
        <v>94</v>
      </c>
    </row>
    <row r="27" spans="2:16" ht="15.75" x14ac:dyDescent="0.25">
      <c r="C27" s="284"/>
      <c r="H27" t="s">
        <v>132</v>
      </c>
      <c r="K27" t="s">
        <v>143</v>
      </c>
      <c r="L27" t="s">
        <v>151</v>
      </c>
      <c r="M27" t="s">
        <v>88</v>
      </c>
      <c r="N27" t="s">
        <v>263</v>
      </c>
    </row>
    <row r="28" spans="2:16" ht="15.75" x14ac:dyDescent="0.25">
      <c r="C28" s="284"/>
      <c r="H28" t="s">
        <v>133</v>
      </c>
      <c r="K28" t="s">
        <v>144</v>
      </c>
      <c r="L28" t="s">
        <v>152</v>
      </c>
      <c r="M28" t="s">
        <v>0</v>
      </c>
      <c r="N28" t="s">
        <v>96</v>
      </c>
    </row>
    <row r="29" spans="2:16" ht="15.75" x14ac:dyDescent="0.25">
      <c r="C29" s="284"/>
      <c r="H29" t="s">
        <v>134</v>
      </c>
      <c r="K29" t="s">
        <v>145</v>
      </c>
      <c r="L29" t="s">
        <v>153</v>
      </c>
      <c r="M29" t="s">
        <v>0</v>
      </c>
      <c r="N29" t="s">
        <v>239</v>
      </c>
    </row>
    <row r="30" spans="2:16" ht="15.75" x14ac:dyDescent="0.25">
      <c r="C30" s="284"/>
      <c r="H30" t="s">
        <v>135</v>
      </c>
      <c r="K30" t="s">
        <v>146</v>
      </c>
      <c r="M30" t="s">
        <v>0</v>
      </c>
      <c r="N30" t="s">
        <v>240</v>
      </c>
    </row>
    <row r="31" spans="2:16" ht="15.75" x14ac:dyDescent="0.25">
      <c r="C31" s="284"/>
      <c r="H31" t="s">
        <v>136</v>
      </c>
      <c r="K31" t="s">
        <v>147</v>
      </c>
      <c r="M31" t="s">
        <v>0</v>
      </c>
      <c r="N31" t="s">
        <v>97</v>
      </c>
    </row>
    <row r="32" spans="2:16" x14ac:dyDescent="0.25">
      <c r="H32" t="s">
        <v>137</v>
      </c>
      <c r="K32" t="s">
        <v>148</v>
      </c>
      <c r="M32" t="s">
        <v>0</v>
      </c>
      <c r="N32" t="s">
        <v>88</v>
      </c>
    </row>
    <row r="33" spans="8:14" x14ac:dyDescent="0.25">
      <c r="H33" t="s">
        <v>75</v>
      </c>
      <c r="M33" t="s">
        <v>0</v>
      </c>
    </row>
    <row r="34" spans="8:14" x14ac:dyDescent="0.25">
      <c r="H34" t="s">
        <v>76</v>
      </c>
      <c r="M34" t="s">
        <v>0</v>
      </c>
      <c r="N34" t="s">
        <v>0</v>
      </c>
    </row>
    <row r="35" spans="8:14" x14ac:dyDescent="0.25">
      <c r="H35" t="s">
        <v>139</v>
      </c>
      <c r="M35" t="s">
        <v>0</v>
      </c>
    </row>
    <row r="36" spans="8:14" x14ac:dyDescent="0.25">
      <c r="H36" t="s">
        <v>264</v>
      </c>
      <c r="M36" t="s">
        <v>0</v>
      </c>
    </row>
    <row r="37" spans="8:14" x14ac:dyDescent="0.25">
      <c r="H37" t="s">
        <v>141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  <pageSetUpPr fitToPage="1"/>
  </sheetPr>
  <dimension ref="A1:BI25"/>
  <sheetViews>
    <sheetView showGridLines="0" topLeftCell="D1" zoomScale="66" zoomScaleNormal="66" workbookViewId="0">
      <selection activeCell="E5" sqref="E5"/>
    </sheetView>
  </sheetViews>
  <sheetFormatPr defaultRowHeight="15" outlineLevelRow="1" outlineLevelCol="1" x14ac:dyDescent="0.25"/>
  <cols>
    <col min="1" max="3" width="9.140625" hidden="1" customWidth="1" outlineLevel="1"/>
    <col min="4" max="4" width="61.5703125" bestFit="1" customWidth="1" collapsed="1"/>
    <col min="5" max="5" width="11.5703125" customWidth="1" outlineLevel="1"/>
    <col min="6" max="6" width="12" customWidth="1" outlineLevel="1"/>
    <col min="7" max="7" width="15.42578125" customWidth="1" outlineLevel="1"/>
    <col min="8" max="8" width="11.5703125" customWidth="1" outlineLevel="1"/>
    <col min="9" max="9" width="12" customWidth="1" outlineLevel="1"/>
    <col min="10" max="10" width="15.42578125" customWidth="1" outlineLevel="1"/>
    <col min="11" max="11" width="11.5703125" customWidth="1" outlineLevel="1"/>
    <col min="12" max="12" width="12" customWidth="1" outlineLevel="1"/>
    <col min="13" max="13" width="15.42578125" customWidth="1" outlineLevel="1"/>
    <col min="14" max="14" width="14.28515625" bestFit="1" customWidth="1"/>
    <col min="15" max="15" width="13.28515625" bestFit="1" customWidth="1"/>
    <col min="16" max="16" width="10.42578125" bestFit="1" customWidth="1"/>
    <col min="17" max="17" width="17" customWidth="1"/>
    <col min="18" max="18" width="11.85546875" bestFit="1" customWidth="1"/>
    <col min="19" max="22" width="20.28515625" customWidth="1"/>
    <col min="23" max="23" width="18.42578125" customWidth="1" collapsed="1"/>
    <col min="24" max="24" width="18.5703125" customWidth="1"/>
    <col min="25" max="25" width="18.85546875" customWidth="1"/>
    <col min="26" max="27" width="12.7109375" customWidth="1"/>
    <col min="28" max="28" width="16.7109375" customWidth="1"/>
    <col min="29" max="29" width="12.42578125" hidden="1" customWidth="1" outlineLevel="1"/>
    <col min="30" max="30" width="12" hidden="1" customWidth="1" outlineLevel="1"/>
    <col min="31" max="31" width="27.85546875" hidden="1" customWidth="1" outlineLevel="1"/>
    <col min="32" max="32" width="11.7109375" hidden="1" customWidth="1" outlineLevel="1"/>
    <col min="33" max="33" width="12" hidden="1" customWidth="1" outlineLevel="1"/>
    <col min="34" max="34" width="45.85546875" hidden="1" customWidth="1" outlineLevel="1"/>
    <col min="35" max="35" width="11.7109375" hidden="1" customWidth="1" outlineLevel="1"/>
    <col min="36" max="36" width="12" hidden="1" customWidth="1" outlineLevel="1"/>
    <col min="37" max="37" width="27.7109375" hidden="1" customWidth="1" outlineLevel="1"/>
    <col min="38" max="38" width="17.28515625" bestFit="1" customWidth="1" collapsed="1"/>
    <col min="39" max="39" width="15.42578125" bestFit="1" customWidth="1"/>
    <col min="40" max="40" width="20.5703125" customWidth="1"/>
    <col min="41" max="42" width="12.7109375" customWidth="1"/>
    <col min="43" max="43" width="20.42578125" customWidth="1"/>
    <col min="44" max="44" width="13" customWidth="1"/>
    <col min="45" max="45" width="12.7109375" customWidth="1"/>
    <col min="46" max="46" width="16.7109375" customWidth="1"/>
    <col min="47" max="48" width="12.7109375" customWidth="1"/>
    <col min="49" max="49" width="17.7109375" customWidth="1"/>
    <col min="50" max="50" width="11.85546875" hidden="1" customWidth="1" outlineLevel="1"/>
    <col min="51" max="51" width="11.42578125" hidden="1" customWidth="1" outlineLevel="1"/>
    <col min="52" max="52" width="20.5703125" hidden="1" customWidth="1" outlineLevel="1"/>
    <col min="53" max="53" width="11.85546875" hidden="1" customWidth="1" outlineLevel="1"/>
    <col min="54" max="54" width="11.42578125" hidden="1" customWidth="1" outlineLevel="1"/>
    <col min="55" max="55" width="58.28515625" hidden="1" customWidth="1" outlineLevel="1"/>
    <col min="56" max="56" width="26.28515625" hidden="1" customWidth="1" outlineLevel="1"/>
    <col min="57" max="57" width="12" hidden="1" customWidth="1" outlineLevel="1"/>
    <col min="58" max="58" width="14.140625" hidden="1" customWidth="1" outlineLevel="1"/>
    <col min="59" max="59" width="12.7109375" customWidth="1" collapsed="1"/>
    <col min="60" max="60" width="12.7109375" customWidth="1"/>
    <col min="61" max="61" width="27" customWidth="1"/>
  </cols>
  <sheetData>
    <row r="1" spans="1:61" x14ac:dyDescent="0.25">
      <c r="A1" s="1"/>
      <c r="B1" s="1"/>
      <c r="C1" s="1"/>
      <c r="D1" s="2"/>
      <c r="E1" s="3"/>
      <c r="F1" s="4"/>
      <c r="G1" s="4"/>
      <c r="H1" s="3"/>
      <c r="I1" s="4"/>
      <c r="J1" s="4"/>
      <c r="K1" s="3"/>
      <c r="L1" s="4"/>
      <c r="M1" s="4"/>
      <c r="N1" s="1"/>
      <c r="O1" s="1"/>
      <c r="P1" s="1"/>
      <c r="Q1" s="5"/>
      <c r="R1" s="5"/>
      <c r="S1" s="1"/>
      <c r="T1" s="1"/>
      <c r="U1" s="6"/>
      <c r="V1" s="6"/>
      <c r="W1" s="3"/>
      <c r="X1" s="4"/>
      <c r="Y1" s="4"/>
      <c r="Z1" s="3"/>
      <c r="AA1" s="4"/>
      <c r="AB1" s="4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</row>
    <row r="2" spans="1:61" x14ac:dyDescent="0.25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5"/>
      <c r="R2" s="5"/>
      <c r="S2" s="1"/>
      <c r="T2" s="1"/>
      <c r="U2" s="6"/>
      <c r="V2" s="6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</row>
    <row r="3" spans="1:61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1"/>
      <c r="U3" s="6"/>
      <c r="V3" s="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</row>
    <row r="4" spans="1:61" ht="15.75" thickBot="1" x14ac:dyDescent="0.3">
      <c r="A4" s="1"/>
      <c r="B4" s="1"/>
      <c r="C4" s="1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1"/>
      <c r="U4" s="6"/>
      <c r="V4" s="6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1"/>
      <c r="BI4" s="1"/>
    </row>
    <row r="5" spans="1:61" ht="21" thickBot="1" x14ac:dyDescent="0.35">
      <c r="A5" s="1"/>
      <c r="B5" s="1"/>
      <c r="C5" s="1"/>
      <c r="D5" s="2"/>
      <c r="E5" s="7"/>
      <c r="F5" s="7"/>
      <c r="G5" s="7"/>
      <c r="H5" s="7"/>
      <c r="I5" s="7"/>
      <c r="J5" s="7"/>
      <c r="K5" s="7"/>
      <c r="L5" s="7"/>
      <c r="M5" s="7"/>
      <c r="N5" s="333">
        <f ca="1">TODAY()</f>
        <v>44014</v>
      </c>
      <c r="O5" s="334"/>
      <c r="P5" s="334"/>
      <c r="Q5" s="334"/>
      <c r="R5" s="335"/>
      <c r="S5" s="1"/>
      <c r="T5" s="1"/>
      <c r="U5" s="6"/>
      <c r="V5" s="6"/>
      <c r="W5" s="336" t="s">
        <v>1</v>
      </c>
      <c r="X5" s="337"/>
      <c r="Y5" s="337"/>
      <c r="Z5" s="337"/>
      <c r="AA5" s="337"/>
      <c r="AB5" s="337"/>
      <c r="AC5" s="337"/>
      <c r="AD5" s="337"/>
      <c r="AE5" s="337"/>
      <c r="AF5" s="337"/>
      <c r="AG5" s="337"/>
      <c r="AH5" s="337"/>
      <c r="AI5" s="337"/>
      <c r="AJ5" s="337"/>
      <c r="AK5" s="337"/>
      <c r="AL5" s="337"/>
      <c r="AM5" s="337"/>
      <c r="AN5" s="337"/>
      <c r="AO5" s="337"/>
      <c r="AP5" s="337"/>
      <c r="AQ5" s="337"/>
      <c r="AR5" s="337"/>
      <c r="AS5" s="337"/>
      <c r="AT5" s="337"/>
      <c r="AU5" s="337"/>
      <c r="AV5" s="337"/>
      <c r="AW5" s="337"/>
      <c r="AX5" s="337"/>
      <c r="AY5" s="337"/>
      <c r="AZ5" s="337"/>
      <c r="BA5" s="337"/>
      <c r="BB5" s="337"/>
      <c r="BC5" s="337"/>
      <c r="BD5" s="337"/>
      <c r="BE5" s="337"/>
      <c r="BF5" s="337"/>
      <c r="BG5" s="337"/>
      <c r="BH5" s="338"/>
      <c r="BI5" s="1"/>
    </row>
    <row r="6" spans="1:61" x14ac:dyDescent="0.25">
      <c r="A6" s="1"/>
      <c r="B6" s="1"/>
      <c r="C6" s="1"/>
      <c r="D6" s="2"/>
      <c r="E6" s="8"/>
      <c r="F6" s="10"/>
      <c r="G6" s="10"/>
      <c r="H6" s="8"/>
      <c r="I6" s="10"/>
      <c r="J6" s="10"/>
      <c r="K6" s="8"/>
      <c r="L6" s="10"/>
      <c r="M6" s="10"/>
      <c r="N6" s="2"/>
      <c r="O6" s="2"/>
      <c r="P6" s="2"/>
      <c r="Q6" s="11"/>
      <c r="R6" s="11"/>
      <c r="S6" s="1"/>
      <c r="T6" s="1"/>
      <c r="U6" s="6"/>
      <c r="V6" s="6"/>
      <c r="W6" s="9"/>
      <c r="X6" s="10"/>
      <c r="Y6" s="10"/>
      <c r="Z6" s="9"/>
      <c r="AA6" s="10"/>
      <c r="AB6" s="1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1"/>
      <c r="BI6" s="1"/>
    </row>
    <row r="7" spans="1:61" ht="15.75" thickBot="1" x14ac:dyDescent="0.3">
      <c r="A7" s="1"/>
      <c r="B7" s="1"/>
      <c r="C7" s="1"/>
      <c r="D7" s="2"/>
      <c r="E7" s="12"/>
      <c r="F7" s="10"/>
      <c r="G7" s="10"/>
      <c r="H7" s="12"/>
      <c r="I7" s="10"/>
      <c r="J7" s="10"/>
      <c r="K7" s="12"/>
      <c r="L7" s="10"/>
      <c r="M7" s="10"/>
      <c r="N7" s="2"/>
      <c r="O7" s="2"/>
      <c r="P7" s="2"/>
      <c r="Q7" s="11"/>
      <c r="R7" s="11"/>
      <c r="S7" s="1"/>
      <c r="T7" s="1"/>
      <c r="U7" s="6"/>
      <c r="V7" s="6"/>
      <c r="W7" s="9"/>
      <c r="X7" s="10"/>
      <c r="Y7" s="10"/>
      <c r="Z7" s="9"/>
      <c r="AA7" s="10"/>
      <c r="AB7" s="1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1"/>
      <c r="BI7" s="1"/>
    </row>
    <row r="8" spans="1:61" ht="49.5" customHeight="1" thickTop="1" thickBot="1" x14ac:dyDescent="0.3">
      <c r="A8" s="1"/>
      <c r="B8" s="1"/>
      <c r="C8" s="1"/>
      <c r="D8" s="2"/>
      <c r="E8" s="13"/>
      <c r="F8" s="10"/>
      <c r="G8" s="10"/>
      <c r="H8" s="13"/>
      <c r="I8" s="10"/>
      <c r="J8" s="10"/>
      <c r="K8" s="13"/>
      <c r="L8" s="10"/>
      <c r="M8" s="10"/>
      <c r="N8" s="339" t="s">
        <v>2</v>
      </c>
      <c r="O8" s="340"/>
      <c r="P8" s="340"/>
      <c r="Q8" s="340"/>
      <c r="R8" s="340"/>
      <c r="S8" s="340"/>
      <c r="T8" s="340"/>
      <c r="U8" s="340"/>
      <c r="V8" s="341"/>
      <c r="W8" s="14"/>
      <c r="X8" s="10"/>
      <c r="Y8" s="15"/>
      <c r="Z8" s="14"/>
      <c r="AA8" s="10"/>
      <c r="AB8" s="10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ht="57" customHeight="1" thickBot="1" x14ac:dyDescent="0.3">
      <c r="A9" s="16"/>
      <c r="B9" s="16"/>
      <c r="C9" s="16"/>
      <c r="D9" s="17"/>
      <c r="E9" s="342" t="s">
        <v>3</v>
      </c>
      <c r="F9" s="343"/>
      <c r="G9" s="344"/>
      <c r="H9" s="342" t="s">
        <v>4</v>
      </c>
      <c r="I9" s="343"/>
      <c r="J9" s="344"/>
      <c r="K9" s="342" t="s">
        <v>5</v>
      </c>
      <c r="L9" s="343"/>
      <c r="M9" s="343"/>
      <c r="N9" s="345" t="s">
        <v>6</v>
      </c>
      <c r="O9" s="346"/>
      <c r="P9" s="346"/>
      <c r="Q9" s="346"/>
      <c r="R9" s="347"/>
      <c r="S9" s="348" t="s">
        <v>7</v>
      </c>
      <c r="T9" s="349"/>
      <c r="U9" s="348" t="s">
        <v>8</v>
      </c>
      <c r="V9" s="349"/>
      <c r="W9" s="350" t="s">
        <v>9</v>
      </c>
      <c r="X9" s="351"/>
      <c r="Y9" s="352"/>
      <c r="Z9" s="353" t="s">
        <v>10</v>
      </c>
      <c r="AA9" s="354"/>
      <c r="AB9" s="355"/>
      <c r="AC9" s="356" t="s">
        <v>11</v>
      </c>
      <c r="AD9" s="357"/>
      <c r="AE9" s="357"/>
      <c r="AF9" s="356" t="s">
        <v>11</v>
      </c>
      <c r="AG9" s="357"/>
      <c r="AH9" s="357"/>
      <c r="AI9" s="356" t="s">
        <v>11</v>
      </c>
      <c r="AJ9" s="357"/>
      <c r="AK9" s="357"/>
      <c r="AL9" s="356" t="s">
        <v>11</v>
      </c>
      <c r="AM9" s="357"/>
      <c r="AN9" s="357"/>
      <c r="AO9" s="324" t="s">
        <v>12</v>
      </c>
      <c r="AP9" s="325"/>
      <c r="AQ9" s="325"/>
      <c r="AR9" s="326" t="s">
        <v>13</v>
      </c>
      <c r="AS9" s="327"/>
      <c r="AT9" s="327"/>
      <c r="AU9" s="328" t="s">
        <v>14</v>
      </c>
      <c r="AV9" s="329"/>
      <c r="AW9" s="329"/>
      <c r="AX9" s="330" t="s">
        <v>15</v>
      </c>
      <c r="AY9" s="331"/>
      <c r="AZ9" s="331"/>
      <c r="BA9" s="332" t="s">
        <v>15</v>
      </c>
      <c r="BB9" s="331"/>
      <c r="BC9" s="331"/>
      <c r="BD9" s="330" t="s">
        <v>15</v>
      </c>
      <c r="BE9" s="331"/>
      <c r="BF9" s="331"/>
      <c r="BG9" s="315" t="s">
        <v>15</v>
      </c>
      <c r="BH9" s="316"/>
      <c r="BI9" s="316"/>
    </row>
    <row r="10" spans="1:61" ht="25.5" hidden="1" customHeight="1" outlineLevel="1" x14ac:dyDescent="0.3">
      <c r="A10" s="18"/>
      <c r="B10" s="18"/>
      <c r="C10" s="18"/>
      <c r="D10" s="19" t="s">
        <v>0</v>
      </c>
      <c r="E10" s="20" t="s">
        <v>3</v>
      </c>
      <c r="F10" s="21" t="s">
        <v>3</v>
      </c>
      <c r="G10" s="21" t="s">
        <v>3</v>
      </c>
      <c r="H10" s="20" t="s">
        <v>4</v>
      </c>
      <c r="I10" s="21" t="s">
        <v>4</v>
      </c>
      <c r="J10" s="22" t="s">
        <v>4</v>
      </c>
      <c r="K10" s="20" t="s">
        <v>16</v>
      </c>
      <c r="L10" s="20" t="s">
        <v>16</v>
      </c>
      <c r="M10" s="23" t="s">
        <v>16</v>
      </c>
      <c r="N10" s="24"/>
      <c r="O10" s="25"/>
      <c r="P10" s="25"/>
      <c r="Q10" s="26"/>
      <c r="R10" s="27"/>
      <c r="S10" s="28"/>
      <c r="T10" s="29"/>
      <c r="U10" s="30"/>
      <c r="V10" s="31"/>
      <c r="W10" s="32"/>
      <c r="X10" s="33"/>
      <c r="Y10" s="34"/>
      <c r="Z10" s="32" t="s">
        <v>17</v>
      </c>
      <c r="AA10" s="33" t="s">
        <v>17</v>
      </c>
      <c r="AB10" s="34" t="s">
        <v>17</v>
      </c>
      <c r="AC10" s="32" t="s">
        <v>19</v>
      </c>
      <c r="AD10" s="33" t="s">
        <v>19</v>
      </c>
      <c r="AE10" s="33" t="s">
        <v>19</v>
      </c>
      <c r="AF10" s="32" t="s">
        <v>20</v>
      </c>
      <c r="AG10" s="33" t="s">
        <v>20</v>
      </c>
      <c r="AH10" s="33" t="s">
        <v>20</v>
      </c>
      <c r="AI10" s="32" t="s">
        <v>21</v>
      </c>
      <c r="AJ10" s="33" t="s">
        <v>21</v>
      </c>
      <c r="AK10" s="33" t="s">
        <v>21</v>
      </c>
      <c r="AL10" s="32"/>
      <c r="AM10" s="33"/>
      <c r="AN10" s="33"/>
      <c r="AO10" s="32" t="s">
        <v>22</v>
      </c>
      <c r="AP10" s="33" t="s">
        <v>22</v>
      </c>
      <c r="AQ10" s="33" t="s">
        <v>22</v>
      </c>
      <c r="AR10" s="32" t="s">
        <v>23</v>
      </c>
      <c r="AS10" s="33" t="s">
        <v>23</v>
      </c>
      <c r="AT10" s="33" t="s">
        <v>23</v>
      </c>
      <c r="AU10" s="32" t="s">
        <v>24</v>
      </c>
      <c r="AV10" s="33" t="s">
        <v>24</v>
      </c>
      <c r="AW10" s="33" t="s">
        <v>24</v>
      </c>
      <c r="AX10" s="35" t="s">
        <v>25</v>
      </c>
      <c r="AY10" s="33" t="s">
        <v>25</v>
      </c>
      <c r="AZ10" s="33" t="s">
        <v>25</v>
      </c>
      <c r="BA10" s="32" t="s">
        <v>26</v>
      </c>
      <c r="BB10" s="33" t="s">
        <v>26</v>
      </c>
      <c r="BC10" s="33" t="s">
        <v>26</v>
      </c>
      <c r="BD10" s="35" t="s">
        <v>27</v>
      </c>
      <c r="BE10" s="35" t="s">
        <v>27</v>
      </c>
      <c r="BF10" s="35" t="s">
        <v>27</v>
      </c>
      <c r="BG10" s="36"/>
      <c r="BH10" s="35"/>
      <c r="BI10" s="35"/>
    </row>
    <row r="11" spans="1:61" ht="25.5" hidden="1" customHeight="1" outlineLevel="1" thickBot="1" x14ac:dyDescent="0.3">
      <c r="A11" s="18"/>
      <c r="B11" s="18"/>
      <c r="C11" s="18"/>
      <c r="D11" s="19" t="s">
        <v>0</v>
      </c>
      <c r="E11" s="37"/>
      <c r="F11" s="38"/>
      <c r="G11" s="38"/>
      <c r="H11" s="37"/>
      <c r="I11" s="38"/>
      <c r="J11" s="38"/>
      <c r="K11" s="37"/>
      <c r="L11" s="38"/>
      <c r="M11" s="39"/>
      <c r="N11" s="37"/>
      <c r="O11" s="38"/>
      <c r="P11" s="38"/>
      <c r="Q11" s="40"/>
      <c r="R11" s="41"/>
      <c r="S11" s="28"/>
      <c r="T11" s="29"/>
      <c r="U11" s="30"/>
      <c r="V11" s="31"/>
      <c r="W11" s="37"/>
      <c r="X11" s="38"/>
      <c r="Y11" s="44"/>
      <c r="Z11" s="37"/>
      <c r="AA11" s="38"/>
      <c r="AB11" s="44"/>
      <c r="AC11" s="37"/>
      <c r="AD11" s="38"/>
      <c r="AE11" s="38"/>
      <c r="AF11" s="45"/>
      <c r="AG11" s="43"/>
      <c r="AH11" s="43"/>
      <c r="AI11" s="45"/>
      <c r="AJ11" s="43"/>
      <c r="AK11" s="43"/>
      <c r="AL11" s="45"/>
      <c r="AM11" s="43"/>
      <c r="AN11" s="43"/>
      <c r="AO11" s="45"/>
      <c r="AP11" s="43"/>
      <c r="AQ11" s="43"/>
      <c r="AR11" s="45"/>
      <c r="AS11" s="43"/>
      <c r="AT11" s="43"/>
      <c r="AU11" s="45"/>
      <c r="AV11" s="43"/>
      <c r="AW11" s="43"/>
      <c r="AX11" s="42"/>
      <c r="AY11" s="43"/>
      <c r="AZ11" s="43"/>
      <c r="BA11" s="45"/>
      <c r="BB11" s="43"/>
      <c r="BC11" s="43"/>
      <c r="BD11" s="42"/>
      <c r="BE11" s="43"/>
      <c r="BF11" s="43"/>
      <c r="BG11" s="45"/>
      <c r="BH11" s="43"/>
      <c r="BI11" s="43"/>
    </row>
    <row r="12" spans="1:61" ht="44.25" customHeight="1" collapsed="1" thickBot="1" x14ac:dyDescent="0.3">
      <c r="A12" s="1"/>
      <c r="B12" s="1"/>
      <c r="C12" s="1"/>
      <c r="D12" s="317" t="s">
        <v>0</v>
      </c>
      <c r="E12" s="46" t="s">
        <v>28</v>
      </c>
      <c r="F12" s="47" t="s">
        <v>29</v>
      </c>
      <c r="G12" s="48"/>
      <c r="H12" s="46" t="s">
        <v>28</v>
      </c>
      <c r="I12" s="47" t="s">
        <v>29</v>
      </c>
      <c r="J12" s="49"/>
      <c r="K12" s="46" t="s">
        <v>28</v>
      </c>
      <c r="L12" s="47" t="s">
        <v>29</v>
      </c>
      <c r="M12" s="49"/>
      <c r="N12" s="306" t="s">
        <v>28</v>
      </c>
      <c r="O12" s="318" t="s">
        <v>29</v>
      </c>
      <c r="P12" s="319"/>
      <c r="Q12" s="319"/>
      <c r="R12" s="320"/>
      <c r="S12" s="321" t="s">
        <v>29</v>
      </c>
      <c r="T12" s="322"/>
      <c r="U12" s="321" t="s">
        <v>29</v>
      </c>
      <c r="V12" s="322"/>
      <c r="W12" s="305" t="s">
        <v>28</v>
      </c>
      <c r="X12" s="311" t="s">
        <v>29</v>
      </c>
      <c r="Y12" s="323"/>
      <c r="Z12" s="305" t="s">
        <v>28</v>
      </c>
      <c r="AA12" s="311" t="s">
        <v>29</v>
      </c>
      <c r="AB12" s="323"/>
      <c r="AC12" s="305" t="s">
        <v>28</v>
      </c>
      <c r="AD12" s="311" t="s">
        <v>29</v>
      </c>
      <c r="AE12" s="312"/>
      <c r="AF12" s="305" t="s">
        <v>28</v>
      </c>
      <c r="AG12" s="311" t="s">
        <v>29</v>
      </c>
      <c r="AH12" s="312"/>
      <c r="AI12" s="305" t="s">
        <v>28</v>
      </c>
      <c r="AJ12" s="311" t="s">
        <v>29</v>
      </c>
      <c r="AK12" s="312"/>
      <c r="AL12" s="305" t="s">
        <v>28</v>
      </c>
      <c r="AM12" s="311" t="s">
        <v>29</v>
      </c>
      <c r="AN12" s="314"/>
      <c r="AO12" s="302" t="s">
        <v>28</v>
      </c>
      <c r="AP12" s="311" t="s">
        <v>29</v>
      </c>
      <c r="AQ12" s="314"/>
      <c r="AR12" s="302" t="s">
        <v>28</v>
      </c>
      <c r="AS12" s="311" t="s">
        <v>29</v>
      </c>
      <c r="AT12" s="314"/>
      <c r="AU12" s="302" t="s">
        <v>28</v>
      </c>
      <c r="AV12" s="311" t="s">
        <v>29</v>
      </c>
      <c r="AW12" s="314"/>
      <c r="AX12" s="304" t="s">
        <v>28</v>
      </c>
      <c r="AY12" s="313" t="s">
        <v>29</v>
      </c>
      <c r="AZ12" s="312"/>
      <c r="BA12" s="303" t="s">
        <v>28</v>
      </c>
      <c r="BB12" s="313" t="s">
        <v>29</v>
      </c>
      <c r="BC12" s="312"/>
      <c r="BD12" s="303" t="s">
        <v>28</v>
      </c>
      <c r="BE12" s="313" t="s">
        <v>29</v>
      </c>
      <c r="BF12" s="312"/>
      <c r="BG12" s="302" t="s">
        <v>28</v>
      </c>
      <c r="BH12" s="311" t="s">
        <v>29</v>
      </c>
      <c r="BI12" s="314"/>
    </row>
    <row r="13" spans="1:61" ht="36" customHeight="1" thickBot="1" x14ac:dyDescent="0.3">
      <c r="A13" s="1"/>
      <c r="B13" s="1" t="s">
        <v>30</v>
      </c>
      <c r="C13" s="1" t="s">
        <v>31</v>
      </c>
      <c r="D13" s="317"/>
      <c r="E13" s="50" t="s">
        <v>32</v>
      </c>
      <c r="F13" s="51" t="s">
        <v>32</v>
      </c>
      <c r="G13" s="52" t="s">
        <v>33</v>
      </c>
      <c r="H13" s="50" t="s">
        <v>32</v>
      </c>
      <c r="I13" s="51" t="s">
        <v>32</v>
      </c>
      <c r="J13" s="52" t="s">
        <v>33</v>
      </c>
      <c r="K13" s="50" t="s">
        <v>32</v>
      </c>
      <c r="L13" s="51" t="s">
        <v>32</v>
      </c>
      <c r="M13" s="53" t="s">
        <v>33</v>
      </c>
      <c r="N13" s="54" t="s">
        <v>32</v>
      </c>
      <c r="O13" s="55" t="s">
        <v>34</v>
      </c>
      <c r="P13" s="56" t="s">
        <v>35</v>
      </c>
      <c r="Q13" s="57" t="s">
        <v>36</v>
      </c>
      <c r="R13" s="58" t="s">
        <v>37</v>
      </c>
      <c r="S13" s="59" t="s">
        <v>33</v>
      </c>
      <c r="T13" s="58" t="s">
        <v>37</v>
      </c>
      <c r="U13" s="59" t="s">
        <v>33</v>
      </c>
      <c r="V13" s="58" t="s">
        <v>37</v>
      </c>
      <c r="W13" s="50" t="s">
        <v>32</v>
      </c>
      <c r="X13" s="51" t="s">
        <v>32</v>
      </c>
      <c r="Y13" s="60" t="s">
        <v>33</v>
      </c>
      <c r="Z13" s="50" t="s">
        <v>32</v>
      </c>
      <c r="AA13" s="51" t="s">
        <v>32</v>
      </c>
      <c r="AB13" s="60" t="s">
        <v>33</v>
      </c>
      <c r="AC13" s="50" t="s">
        <v>32</v>
      </c>
      <c r="AD13" s="51" t="s">
        <v>32</v>
      </c>
      <c r="AE13" s="52" t="s">
        <v>33</v>
      </c>
      <c r="AF13" s="61" t="s">
        <v>32</v>
      </c>
      <c r="AG13" s="62" t="s">
        <v>32</v>
      </c>
      <c r="AH13" s="63" t="s">
        <v>33</v>
      </c>
      <c r="AI13" s="61" t="s">
        <v>32</v>
      </c>
      <c r="AJ13" s="62" t="s">
        <v>32</v>
      </c>
      <c r="AK13" s="63" t="s">
        <v>33</v>
      </c>
      <c r="AL13" s="61" t="s">
        <v>32</v>
      </c>
      <c r="AM13" s="62" t="s">
        <v>32</v>
      </c>
      <c r="AN13" s="64" t="s">
        <v>33</v>
      </c>
      <c r="AO13" s="61" t="s">
        <v>32</v>
      </c>
      <c r="AP13" s="62" t="s">
        <v>32</v>
      </c>
      <c r="AQ13" s="64" t="s">
        <v>33</v>
      </c>
      <c r="AR13" s="61" t="s">
        <v>32</v>
      </c>
      <c r="AS13" s="62" t="s">
        <v>32</v>
      </c>
      <c r="AT13" s="64" t="s">
        <v>33</v>
      </c>
      <c r="AU13" s="61" t="s">
        <v>32</v>
      </c>
      <c r="AV13" s="62" t="s">
        <v>32</v>
      </c>
      <c r="AW13" s="64" t="s">
        <v>33</v>
      </c>
      <c r="AX13" s="65" t="s">
        <v>32</v>
      </c>
      <c r="AY13" s="62" t="s">
        <v>32</v>
      </c>
      <c r="AZ13" s="63" t="s">
        <v>33</v>
      </c>
      <c r="BA13" s="61" t="s">
        <v>32</v>
      </c>
      <c r="BB13" s="62" t="s">
        <v>32</v>
      </c>
      <c r="BC13" s="63" t="s">
        <v>33</v>
      </c>
      <c r="BD13" s="65" t="s">
        <v>32</v>
      </c>
      <c r="BE13" s="62" t="s">
        <v>32</v>
      </c>
      <c r="BF13" s="63" t="s">
        <v>33</v>
      </c>
      <c r="BG13" s="61" t="s">
        <v>32</v>
      </c>
      <c r="BH13" s="62" t="s">
        <v>32</v>
      </c>
      <c r="BI13" s="64" t="s">
        <v>33</v>
      </c>
    </row>
    <row r="14" spans="1:61" ht="16.5" thickBot="1" x14ac:dyDescent="0.3">
      <c r="A14" s="66"/>
      <c r="B14" s="67">
        <v>46</v>
      </c>
      <c r="C14" s="67"/>
      <c r="D14" s="68" t="s">
        <v>39</v>
      </c>
      <c r="E14" s="69">
        <f>COUNTIFS('Details-Products'!C6:C99996,B14,'Details-Products'!BH6:BH99996,E9)</f>
        <v>0</v>
      </c>
      <c r="F14" s="70">
        <f>COUNTIFS('Details-Products'!$C$7:$C$99997,$B14,'Details-Products'!$BH$7:$BH$99997,F$10,'Details-Products'!$W$7:$W$99997,"YES")</f>
        <v>0</v>
      </c>
      <c r="G14" s="71">
        <f>SUMIFS('Details-Products'!$Z$7:$Z$99997,'Details-Products'!$C$7:$C$99997,$B14,'Details-Products'!$BH$7:$BH$99997,G$10,'Details-Products'!$W$7:$W$99997,"YES")</f>
        <v>0</v>
      </c>
      <c r="H14" s="69">
        <f>COUNTIFS('Details-Products'!$C$7:$C$99997,$B14,'Details-Products'!$BH$7:$BH$99997,H$10)</f>
        <v>0</v>
      </c>
      <c r="I14" s="70">
        <f>COUNTIFS('Details-Products'!$C$7:$C$799999,$B14,'Details-Products'!$BH$7:$BH$799999,I$10,'Details-Products'!$W$7:$W$799999,"YES")</f>
        <v>0</v>
      </c>
      <c r="J14" s="71">
        <f>SUMIFS('Details-Products'!$Z$7:$Z$799999,'Details-Products'!$C$7:$C$799999,$B14,'Details-Products'!$BH$7:$BH$799999,J$10,'Details-Products'!$W$7:$W$799999,"YES")</f>
        <v>0</v>
      </c>
      <c r="K14" s="69">
        <f>COUNTIFS('Details-Products'!$C$7:$C$99997,$B14,'Details-Products'!$BH$7:$BH$99997,K$10)</f>
        <v>0</v>
      </c>
      <c r="L14" s="70">
        <f>COUNTIFS('Details-Products'!$C$7:$C$799999,$B14,'Details-Products'!$BH$7:$BH$799999,L$10,'Details-Products'!$W$7:$W$799999,"YES")</f>
        <v>0</v>
      </c>
      <c r="M14" s="72">
        <f>SUMIFS('Details-Products'!$Z$7:$Z$799999,'Details-Products'!$C$7:$C$799999,$B14,'Details-Products'!$BH$7:$BH$799999,M$10,'Details-Products'!$W$7:$W$799999,"YES")</f>
        <v>0</v>
      </c>
      <c r="N14" s="73">
        <f t="shared" ref="N14:N24" si="0" xml:space="preserve"> Z14+AL14+AO14+AR14+AU14+BG14</f>
        <v>0</v>
      </c>
      <c r="O14" s="74">
        <f t="shared" ref="O14:O24" si="1" xml:space="preserve"> AA14+AM14+AP14+AS14+AV14+BH14</f>
        <v>0</v>
      </c>
      <c r="P14" s="75">
        <f t="shared" ref="P14:P25" si="2">AB14+AN14+AQ14+AT14+AW14+BI14</f>
        <v>0</v>
      </c>
      <c r="Q14" s="74" t="e">
        <f>VLOOKUP($D14,Ttl_Inv!$A$4:$C$21,3,FALSE)</f>
        <v>#N/A</v>
      </c>
      <c r="R14" s="76" t="e">
        <f t="shared" ref="R14:R25" si="3">P14/Q14</f>
        <v>#N/A</v>
      </c>
      <c r="S14" s="77">
        <f>SUMIFS(UPCS!R:R,UPCS!B:B,B14)</f>
        <v>0</v>
      </c>
      <c r="T14" s="78" t="e">
        <f t="shared" ref="T14:T25" si="4">S14/Q14</f>
        <v>#N/A</v>
      </c>
      <c r="U14" s="77">
        <f t="shared" ref="U14:U25" si="5">P14+S14</f>
        <v>0</v>
      </c>
      <c r="V14" s="78" t="e">
        <f t="shared" ref="V14:V25" si="6">U14/Q14</f>
        <v>#N/A</v>
      </c>
      <c r="W14" s="79">
        <f t="shared" ref="W14:W24" si="7">E14+H14+K14</f>
        <v>0</v>
      </c>
      <c r="X14" s="80">
        <f t="shared" ref="X14:X24" si="8">F14+I14+L14</f>
        <v>0</v>
      </c>
      <c r="Y14" s="81">
        <f t="shared" ref="Y14:Y24" si="9">G14+J14+M14</f>
        <v>0</v>
      </c>
      <c r="Z14" s="79">
        <f>COUNTIFS('Details-Products'!$C$7:$C$799999,$B14,'Details-Products'!$BH$7:$BH$799999,Z$10)</f>
        <v>0</v>
      </c>
      <c r="AA14" s="80">
        <f>COUNTIFS('Details-Products'!$C$7:$C$799999,$B14,'Details-Products'!$BH$7:$BH$799999,AA$10,'Details-Products'!$W$7:$W$799999,"YES")</f>
        <v>0</v>
      </c>
      <c r="AB14" s="82">
        <f>SUMIFS('Details-Products'!$Z$7:$Z$799999,'Details-Products'!$C$7:$C$799999,$B14,'Details-Products'!$BH$7:$BH$799999,AB$10,'Details-Products'!$W$7:$W$799999,"YES")</f>
        <v>0</v>
      </c>
      <c r="AC14" s="79">
        <f>COUNTIFS('Details-Products'!$C$7:$C$799999,$B14,'Details-Products'!$BH$7:$BH$799999,AC$10)</f>
        <v>0</v>
      </c>
      <c r="AD14" s="80">
        <f>COUNTIFS('Details-Products'!$C$7:$C$799999,$B14,'Details-Products'!$BH$7:$BH$799999,AD$10,'Details-Products'!$W$7:$W$799999,"YES")</f>
        <v>0</v>
      </c>
      <c r="AE14" s="84">
        <f>SUMIFS('Details-Products'!$Z$7:$Z$799999,'Details-Products'!$C$7:$C$799999,$B14,'Details-Products'!$BH$7:$BH$799999,AE$10,'Details-Products'!$W$7:$W$799999,"YES")</f>
        <v>0</v>
      </c>
      <c r="AF14" s="79">
        <f>COUNTIFS('Details-Products'!$C$7:$C$799999,$B14,'Details-Products'!$BH$7:$BH$799999,AF$10)</f>
        <v>0</v>
      </c>
      <c r="AG14" s="80">
        <f>COUNTIFS('Details-Products'!$C$7:$C$799999,$B14,'Details-Products'!$BH$7:$BH$799999,AG$10,'Details-Products'!$W$7:$W$799999,"YES")</f>
        <v>0</v>
      </c>
      <c r="AH14" s="83">
        <f>SUMIFS('Details-Products'!$Z$7:$Z$799999,'Details-Products'!$C$7:$C$799999,$B14,'Details-Products'!$BH$7:$BH$799999,AH$10,'Details-Products'!$W$7:$W$799999,"YES")</f>
        <v>0</v>
      </c>
      <c r="AI14" s="79">
        <f>COUNTIFS('Details-Products'!$C$7:$C$799999,$B14,'Details-Products'!$BH$7:$BH$799999,AI$10)</f>
        <v>0</v>
      </c>
      <c r="AJ14" s="80">
        <f>COUNTIFS('Details-Products'!$C$7:$C$799999,$B14,'Details-Products'!$BH$7:$BH$799999,AJ$10,'Details-Products'!$W$7:$W$799999,"YES")</f>
        <v>0</v>
      </c>
      <c r="AK14" s="83">
        <f>SUMIFS('Details-Products'!$Z$7:$Z$799999,'Details-Products'!$C$7:$C$799999,$B14,'Details-Products'!$BH$7:$BH$799999,AK$10,'Details-Products'!$W$7:$W$799999,"YES")</f>
        <v>0</v>
      </c>
      <c r="AL14" s="79">
        <f t="shared" ref="AL14:AL24" si="10">AC14+AF14+AI14</f>
        <v>0</v>
      </c>
      <c r="AM14" s="80">
        <f t="shared" ref="AM14:AM24" si="11">AD14+AG14+AJ14</f>
        <v>0</v>
      </c>
      <c r="AN14" s="85">
        <f t="shared" ref="AN14:AN24" si="12">AE14+AH14+AK14</f>
        <v>0</v>
      </c>
      <c r="AO14" s="79">
        <f>COUNTIFS('Details-Products'!$C$7:$C$799999,$B14,'Details-Products'!$BH$7:$BH$799999,AO$10)</f>
        <v>0</v>
      </c>
      <c r="AP14" s="80">
        <f>COUNTIFS('Details-Products'!$C$7:$C$799999,$B14,'Details-Products'!$BH$7:$BH$799999,AP$10,'Details-Products'!$W$7:$W$799999,"YES")</f>
        <v>0</v>
      </c>
      <c r="AQ14" s="87">
        <f>SUMIFS('Details-Products'!$Z$7:$Z$799999,'Details-Products'!$C$7:$C$799999,$B14,'Details-Products'!$BH$7:$BH$799999,AQ$10,'Details-Products'!$W$7:$W$799999,"YES")</f>
        <v>0</v>
      </c>
      <c r="AR14" s="79">
        <f>COUNTIFS('Details-Products'!$C$7:$C$799999,$B14,'Details-Products'!$BH$7:$BH$799999,AR$10)</f>
        <v>0</v>
      </c>
      <c r="AS14" s="80">
        <f>COUNTIFS('Details-Products'!$C$7:$C$799999,$B14,'Details-Products'!$BH$7:$BH$799999,AS$10,'Details-Products'!$W$7:$W$799999,"YES")</f>
        <v>0</v>
      </c>
      <c r="AT14" s="87">
        <f>SUMIFS('Details-Products'!$Z$7:$Z$799999,'Details-Products'!$C$7:$C$799999,$B14,'Details-Products'!$BH$7:$BH$799999,AT$10,'Details-Products'!$W$7:$W$799999,"YES")</f>
        <v>0</v>
      </c>
      <c r="AU14" s="79">
        <f>COUNTIFS('Details-Products'!$C$7:$C$799999,$B14,'Details-Products'!$BH$7:$BH$799999,AU$10)</f>
        <v>0</v>
      </c>
      <c r="AV14" s="80">
        <f>COUNTIFS('Details-Products'!$C$7:$C$799999,$B14,'Details-Products'!$BH$7:$BH$799999,AV$10,'Details-Products'!$W$7:$W$799999,"YES")</f>
        <v>0</v>
      </c>
      <c r="AW14" s="85">
        <f>SUMIFS('Details-Products'!$Z$7:$Z$799999,'Details-Products'!$C$7:$C$799999,$B14,'Details-Products'!$BH$7:$BH$799999,AW$10,'Details-Products'!$W$7:$W$799999,"YES")</f>
        <v>0</v>
      </c>
      <c r="AX14" s="86">
        <f>COUNTIFS('Details-Products'!$C$7:$C$799999,$B14,'Details-Products'!$BH$7:$BH$799999,AX$10)</f>
        <v>0</v>
      </c>
      <c r="AY14" s="80">
        <f>COUNTIFS('Details-Products'!$C$7:$C$799999,$B14,'Details-Products'!$BH$7:$BH$799999,AY$10,'Details-Products'!$W$7:$W$799999,"YES")</f>
        <v>0</v>
      </c>
      <c r="AZ14" s="88">
        <f>SUMIFS('Details-Products'!$Z$7:$Z$799999,'Details-Products'!$C$7:$C$799999,$B14,'Details-Products'!$BH$7:$BH$799999,AZ$10,'Details-Products'!$W$7:$W$799999,"YES")</f>
        <v>0</v>
      </c>
      <c r="BA14" s="79">
        <f>COUNTIFS('Details-Products'!$C$7:$C$799999,$B14,'Details-Products'!$BH$7:$BH$799999,BA$10)</f>
        <v>0</v>
      </c>
      <c r="BB14" s="80">
        <f>COUNTIFS('Details-Products'!$C$7:$C$799999,$B14,'Details-Products'!$BH$7:$BH$799999,BB$10,'Details-Products'!$W$7:$W$799999,"YES")</f>
        <v>0</v>
      </c>
      <c r="BC14" s="89">
        <f>SUMIFS('Details-Products'!$Z$7:$Z$799999,'Details-Products'!$C$7:$C$799999,$B14,'Details-Products'!$BH$7:$BH$799999,BC$10,'Details-Products'!$W$7:$W$799999,"YES")</f>
        <v>0</v>
      </c>
      <c r="BD14" s="86">
        <f>COUNTIFS('Details-Products'!$C$7:$C$799999,$B14,'Details-Products'!$BH$7:$BH$799999,BD$10)</f>
        <v>0</v>
      </c>
      <c r="BE14" s="80">
        <f>COUNTIFS('Details-Products'!$C$7:$C$799999,$B14,'Details-Products'!$BH$7:$BH$799999,BE$10,'Details-Products'!$W$7:$W$799999,"YES")</f>
        <v>0</v>
      </c>
      <c r="BF14" s="89">
        <f>SUMIFS('Details-Products'!$Z$7:$Z$799999,'Details-Products'!$C$7:$C$799999,$B14,'Details-Products'!$BH$7:$BH$799999,BF$10,'Details-Products'!$W$7:$W$799999,"YES")</f>
        <v>0</v>
      </c>
      <c r="BG14" s="79">
        <f t="shared" ref="BG14:BG24" si="13">AX14+BA14+BD14</f>
        <v>0</v>
      </c>
      <c r="BH14" s="80">
        <f t="shared" ref="BH14:BH24" si="14">AY14+BB14+BE14</f>
        <v>0</v>
      </c>
      <c r="BI14" s="88">
        <f t="shared" ref="BI14:BI24" si="15">AZ14+BC14+BF14</f>
        <v>0</v>
      </c>
    </row>
    <row r="15" spans="1:61" ht="16.5" thickBot="1" x14ac:dyDescent="0.3">
      <c r="A15" s="90"/>
      <c r="B15" s="91">
        <v>76</v>
      </c>
      <c r="C15" s="91"/>
      <c r="D15" s="92" t="s">
        <v>40</v>
      </c>
      <c r="E15" s="93">
        <f>COUNTIFS('Details-Products'!C7:C99997,B15,'Details-Products'!BH7:BH99997,E10)</f>
        <v>0</v>
      </c>
      <c r="F15" s="94">
        <f>COUNTIFS('Details-Products'!$C$7:$C$99997,$B15,'Details-Products'!$BH$7:$BH$99997,F$10,'Details-Products'!$W$7:$W$99997,"YES")</f>
        <v>0</v>
      </c>
      <c r="G15" s="95">
        <f>SUMIFS('Details-Products'!$Z$7:$Z$99997,'Details-Products'!$C$7:$C$99997,$B15,'Details-Products'!$BH$7:$BH$99997,G$10,'Details-Products'!$W$7:$W$99997,"YES")</f>
        <v>0</v>
      </c>
      <c r="H15" s="93">
        <f>COUNTIFS('Details-Products'!$C$7:$C$99997,$B15,'Details-Products'!$BH$7:$BH$99997,H$10)</f>
        <v>0</v>
      </c>
      <c r="I15" s="94">
        <f>COUNTIFS('Details-Products'!$C$7:$C$799999,$B15,'Details-Products'!$BH$7:$BH$799999,I$10,'Details-Products'!$W$7:$W$799999,"YES")</f>
        <v>0</v>
      </c>
      <c r="J15" s="96">
        <f>SUMIFS('Details-Products'!$Z$7:$Z$799999,'Details-Products'!$C$7:$C$799999,$B15,'Details-Products'!$BH$7:$BH$799999,J$10,'Details-Products'!$W$7:$W$799999,"YES")</f>
        <v>0</v>
      </c>
      <c r="K15" s="93">
        <f>COUNTIFS('Details-Products'!$C$7:$C$99997,$B15,'Details-Products'!$BH$7:$BH$99997,K$10)</f>
        <v>0</v>
      </c>
      <c r="L15" s="94">
        <f>COUNTIFS('Details-Products'!$C$7:$C$799999,$B15,'Details-Products'!$BH$7:$BH$799999,L$10,'Details-Products'!$W$7:$W$799999,"YES")</f>
        <v>0</v>
      </c>
      <c r="M15" s="97">
        <f>SUMIFS('Details-Products'!$Z$7:$Z$799999,'Details-Products'!$C$7:$C$799999,$B15,'Details-Products'!$BH$7:$BH$799999,M$10,'Details-Products'!$W$7:$W$799999,"YES")</f>
        <v>0</v>
      </c>
      <c r="N15" s="98">
        <f t="shared" si="0"/>
        <v>0</v>
      </c>
      <c r="O15" s="99">
        <f t="shared" si="1"/>
        <v>0</v>
      </c>
      <c r="P15" s="100">
        <f t="shared" si="2"/>
        <v>0</v>
      </c>
      <c r="Q15" s="99" t="e">
        <f>VLOOKUP($D15,Ttl_Inv!$A$4:$C$21,3,FALSE)</f>
        <v>#N/A</v>
      </c>
      <c r="R15" s="101" t="e">
        <f t="shared" si="3"/>
        <v>#N/A</v>
      </c>
      <c r="S15" s="102">
        <f>SUMIFS(UPCS!R:R,UPCS!B:B,B15)</f>
        <v>0</v>
      </c>
      <c r="T15" s="103" t="e">
        <f t="shared" si="4"/>
        <v>#N/A</v>
      </c>
      <c r="U15" s="102">
        <f t="shared" si="5"/>
        <v>0</v>
      </c>
      <c r="V15" s="103" t="e">
        <f t="shared" si="6"/>
        <v>#N/A</v>
      </c>
      <c r="W15" s="104">
        <f t="shared" si="7"/>
        <v>0</v>
      </c>
      <c r="X15" s="105">
        <f t="shared" si="8"/>
        <v>0</v>
      </c>
      <c r="Y15" s="106">
        <f t="shared" si="9"/>
        <v>0</v>
      </c>
      <c r="Z15" s="104">
        <f>COUNTIFS('Details-Products'!$C$7:$C$99997,$B15,'Details-Products'!$BH$7:$BH$99997,Z$10)</f>
        <v>0</v>
      </c>
      <c r="AA15" s="105">
        <f>COUNTIFS('Details-Products'!$C$7:$C$799999,$B15,'Details-Products'!$BH$7:$BH$799999,AA$10,'Details-Products'!$W$7:$W$799999,"YES")</f>
        <v>0</v>
      </c>
      <c r="AB15" s="107">
        <f>SUMIFS('Details-Products'!$Z$7:$Z$799999,'Details-Products'!$C$7:$C$799999,$B15,'Details-Products'!$BH$7:$BH$799999,AB$10,'Details-Products'!$W$7:$W$799999,"YES")</f>
        <v>0</v>
      </c>
      <c r="AC15" s="104">
        <f>COUNTIFS('Details-Products'!$C$7:$C$799999,$B15,'Details-Products'!$BH$7:$BH$799999,AC$10)</f>
        <v>0</v>
      </c>
      <c r="AD15" s="105">
        <f>COUNTIFS('Details-Products'!$C$7:$C$799999,$B15,'Details-Products'!$BH$7:$BH$799999,AD$10,'Details-Products'!$W$7:$W$799999,"YES")</f>
        <v>0</v>
      </c>
      <c r="AE15" s="108">
        <f>SUMIFS('Details-Products'!$Z$7:$Z$799999,'Details-Products'!$C$7:$C$799999,$B15,'Details-Products'!$BH$7:$BH$799999,AE$10,'Details-Products'!$W$7:$W$799999,"YES")</f>
        <v>0</v>
      </c>
      <c r="AF15" s="104">
        <f>COUNTIFS('Details-Products'!$C$7:$C$799999,$B15,'Details-Products'!$BH$7:$BH$799999,AF$10)</f>
        <v>0</v>
      </c>
      <c r="AG15" s="105">
        <f>COUNTIFS('Details-Products'!$C$7:$C$799999,$B15,'Details-Products'!$BH$7:$BH$799999,AG$10,'Details-Products'!$W$7:$W$799999,"YES")</f>
        <v>0</v>
      </c>
      <c r="AH15" s="108">
        <f>SUMIFS('Details-Products'!$Z$7:$Z$799999,'Details-Products'!$C$7:$C$799999,$B15,'Details-Products'!$BH$7:$BH$799999,AH$10,'Details-Products'!$W$7:$W$799999,"YES")</f>
        <v>0</v>
      </c>
      <c r="AI15" s="104">
        <f>COUNTIFS('Details-Products'!$C$7:$C$799999,$B15,'Details-Products'!$BH$7:$BH$799999,AI$10)</f>
        <v>0</v>
      </c>
      <c r="AJ15" s="105">
        <f>COUNTIFS('Details-Products'!$C$7:$C$799999,$B15,'Details-Products'!$BH$7:$BH$799999,AJ$10,'Details-Products'!$W$7:$W$799999,"YES")</f>
        <v>0</v>
      </c>
      <c r="AK15" s="108">
        <f>SUMIFS('Details-Products'!$Z$7:$Z$799999,'Details-Products'!$C$7:$C$799999,$B15,'Details-Products'!$BH$7:$BH$799999,AK$10,'Details-Products'!$W$7:$W$799999,"YES")</f>
        <v>0</v>
      </c>
      <c r="AL15" s="104">
        <f t="shared" si="10"/>
        <v>0</v>
      </c>
      <c r="AM15" s="105">
        <f t="shared" si="11"/>
        <v>0</v>
      </c>
      <c r="AN15" s="109">
        <f t="shared" si="12"/>
        <v>0</v>
      </c>
      <c r="AO15" s="104">
        <f>COUNTIFS('Details-Products'!$C$7:$C$799999,$B15,'Details-Products'!$BH$7:$BH$799999,AO$10)</f>
        <v>0</v>
      </c>
      <c r="AP15" s="105">
        <f>COUNTIFS('Details-Products'!$C$7:$C$799999,$B15,'Details-Products'!$BH$7:$BH$799999,AP$10,'Details-Products'!$W$7:$W$799999,"YES")</f>
        <v>0</v>
      </c>
      <c r="AQ15" s="111">
        <f>SUMIFS('Details-Products'!$Z$7:$Z$799999,'Details-Products'!$C$7:$C$799999,$B15,'Details-Products'!$BH$7:$BH$799999,AQ$10,'Details-Products'!$W$7:$W$799999,"YES")</f>
        <v>0</v>
      </c>
      <c r="AR15" s="104">
        <f>COUNTIFS('Details-Products'!$C$7:$C$799999,$B15,'Details-Products'!$BH$7:$BH$799999,AR$10)</f>
        <v>0</v>
      </c>
      <c r="AS15" s="105">
        <f>COUNTIFS('Details-Products'!$C$7:$C$799999,$B15,'Details-Products'!$BH$7:$BH$799999,AS$10,'Details-Products'!$W$7:$W$799999,"YES")</f>
        <v>0</v>
      </c>
      <c r="AT15" s="111">
        <f>SUMIFS('Details-Products'!$Z$7:$Z$799999,'Details-Products'!$C$7:$C$799999,$B15,'Details-Products'!$BH$7:$BH$799999,AT$10,'Details-Products'!$W$7:$W$799999,"YES")</f>
        <v>0</v>
      </c>
      <c r="AU15" s="104">
        <f>COUNTIFS('Details-Products'!$C$7:$C$799999,$B15,'Details-Products'!$BH$7:$BH$799999,AU$10)</f>
        <v>0</v>
      </c>
      <c r="AV15" s="105">
        <f>COUNTIFS('Details-Products'!$C$7:$C$799999,$B15,'Details-Products'!$BH$7:$BH$799999,AV$10,'Details-Products'!$W$7:$W$799999,"YES")</f>
        <v>0</v>
      </c>
      <c r="AW15" s="109">
        <f>SUMIFS('Details-Products'!$Z$7:$Z$799999,'Details-Products'!$C$7:$C$799999,$B15,'Details-Products'!$BH$7:$BH$799999,AW$10,'Details-Products'!$W$7:$W$799999,"YES")</f>
        <v>0</v>
      </c>
      <c r="AX15" s="110">
        <f>COUNTIFS('Details-Products'!$C$7:$C$799999,$B15,'Details-Products'!$BH$7:$BH$799999,AX$10)</f>
        <v>0</v>
      </c>
      <c r="AY15" s="105">
        <f>COUNTIFS('Details-Products'!$C$7:$C$799999,$B15,'Details-Products'!$BH$7:$BH$799999,AY$10,'Details-Products'!$W$7:$W$799999,"YES")</f>
        <v>0</v>
      </c>
      <c r="AZ15" s="112">
        <f>SUMIFS('Details-Products'!$Z$7:$Z$799999,'Details-Products'!$C$7:$C$799999,$B15,'Details-Products'!$BH$7:$BH$799999,AZ$10,'Details-Products'!$W$7:$W$799999,"YES")</f>
        <v>0</v>
      </c>
      <c r="BA15" s="104">
        <f>COUNTIFS('Details-Products'!$C$7:$C$799999,$B15,'Details-Products'!$BH$7:$BH$799999,BA$10)</f>
        <v>0</v>
      </c>
      <c r="BB15" s="105">
        <f>COUNTIFS('Details-Products'!$C$7:$C$799999,$B15,'Details-Products'!$BH$7:$BH$799999,BB$10,'Details-Products'!$W$7:$W$799999,"YES")</f>
        <v>0</v>
      </c>
      <c r="BC15" s="113">
        <f>SUMIFS('Details-Products'!$Z$7:$Z$799999,'Details-Products'!$C$7:$C$799999,$B15,'Details-Products'!$BH$7:$BH$799999,BC$10,'Details-Products'!$W$7:$W$799999,"YES")</f>
        <v>0</v>
      </c>
      <c r="BD15" s="110">
        <f>COUNTIFS('Details-Products'!$C$7:$C$799999,$B15,'Details-Products'!$BH$7:$BH$799999,BD$10)</f>
        <v>0</v>
      </c>
      <c r="BE15" s="105">
        <f>COUNTIFS('Details-Products'!$C$7:$C$799999,$B15,'Details-Products'!$BH$7:$BH$799999,BE$10,'Details-Products'!$W$7:$W$799999,"YES")</f>
        <v>0</v>
      </c>
      <c r="BF15" s="113">
        <f>SUMIFS('Details-Products'!$Z$7:$Z$799999,'Details-Products'!$C$7:$C$799999,$B15,'Details-Products'!$BH$7:$BH$799999,BF$10,'Details-Products'!$W$7:$W$799999,"YES")</f>
        <v>0</v>
      </c>
      <c r="BG15" s="104">
        <f t="shared" si="13"/>
        <v>0</v>
      </c>
      <c r="BH15" s="105">
        <f t="shared" si="14"/>
        <v>0</v>
      </c>
      <c r="BI15" s="112">
        <f t="shared" si="15"/>
        <v>0</v>
      </c>
    </row>
    <row r="16" spans="1:61" ht="16.5" thickBot="1" x14ac:dyDescent="0.3">
      <c r="A16" s="66"/>
      <c r="B16" s="67">
        <v>48</v>
      </c>
      <c r="C16" s="67"/>
      <c r="D16" s="68" t="s">
        <v>41</v>
      </c>
      <c r="E16" s="69">
        <f>COUNTIFS('Details-Products'!C8:C99998,B16,'Details-Products'!BH8:BH99998,E11)</f>
        <v>0</v>
      </c>
      <c r="F16" s="70">
        <f>COUNTIFS('Details-Products'!$C$7:$C$99997,$B16,'Details-Products'!$BH$7:$BH$99997,F$10,'Details-Products'!$W$7:$W$99997,"YES")</f>
        <v>0</v>
      </c>
      <c r="G16" s="71">
        <f>SUMIFS('Details-Products'!$Z$7:$Z$99997,'Details-Products'!$C$7:$C$99997,$B16,'Details-Products'!$BH$7:$BH$99997,G$10,'Details-Products'!$W$7:$W$99997,"YES")</f>
        <v>0</v>
      </c>
      <c r="H16" s="69">
        <f>COUNTIFS('Details-Products'!$C$7:$C$99997,$B16,'Details-Products'!$BH$7:$BH$99997,H$10)</f>
        <v>0</v>
      </c>
      <c r="I16" s="70">
        <f>COUNTIFS('Details-Products'!$C$7:$C$799999,$B16,'Details-Products'!$BH$7:$BH$799999,I$10,'Details-Products'!$W$7:$W$799999,"YES")</f>
        <v>0</v>
      </c>
      <c r="J16" s="71">
        <f>SUMIFS('Details-Products'!$Z$7:$Z$799999,'Details-Products'!$C$7:$C$799999,$B16,'Details-Products'!$BH$7:$BH$799999,J$10,'Details-Products'!$W$7:$W$799999,"YES")</f>
        <v>0</v>
      </c>
      <c r="K16" s="69">
        <f>COUNTIFS('Details-Products'!$C$7:$C$99997,$B16,'Details-Products'!$BH$7:$BH$99997,K$10)</f>
        <v>0</v>
      </c>
      <c r="L16" s="70">
        <f>COUNTIFS('Details-Products'!$C$7:$C$799999,$B16,'Details-Products'!$BH$7:$BH$799999,L$10,'Details-Products'!$W$7:$W$799999,"YES")</f>
        <v>0</v>
      </c>
      <c r="M16" s="72">
        <f>SUMIFS('Details-Products'!$Z$7:$Z$799999,'Details-Products'!$C$7:$C$799999,$B16,'Details-Products'!$BH$7:$BH$799999,M$10,'Details-Products'!$W$7:$W$799999,"YES")</f>
        <v>0</v>
      </c>
      <c r="N16" s="73">
        <f t="shared" si="0"/>
        <v>0</v>
      </c>
      <c r="O16" s="74">
        <f t="shared" si="1"/>
        <v>0</v>
      </c>
      <c r="P16" s="75">
        <f t="shared" si="2"/>
        <v>0</v>
      </c>
      <c r="Q16" s="74" t="e">
        <f>VLOOKUP($D16,Ttl_Inv!$A$4:$C$21,3,FALSE)</f>
        <v>#N/A</v>
      </c>
      <c r="R16" s="76" t="e">
        <f t="shared" si="3"/>
        <v>#N/A</v>
      </c>
      <c r="S16" s="77">
        <f>SUMIFS(UPCS!R:R,UPCS!B:B,B16)</f>
        <v>0</v>
      </c>
      <c r="T16" s="78" t="e">
        <f t="shared" si="4"/>
        <v>#N/A</v>
      </c>
      <c r="U16" s="77">
        <f t="shared" si="5"/>
        <v>0</v>
      </c>
      <c r="V16" s="78" t="e">
        <f t="shared" si="6"/>
        <v>#N/A</v>
      </c>
      <c r="W16" s="79">
        <f t="shared" si="7"/>
        <v>0</v>
      </c>
      <c r="X16" s="80">
        <f t="shared" si="8"/>
        <v>0</v>
      </c>
      <c r="Y16" s="81">
        <f t="shared" si="9"/>
        <v>0</v>
      </c>
      <c r="Z16" s="79">
        <f>COUNTIFS('Details-Products'!$C$7:$C$99997,$B16,'Details-Products'!$BH$7:$BH$99997,Z$10)</f>
        <v>0</v>
      </c>
      <c r="AA16" s="80">
        <f>COUNTIFS('Details-Products'!$C$7:$C$799999,$B16,'Details-Products'!$BH$7:$BH$799999,AA$10,'Details-Products'!$W$7:$W$799999,"YES")</f>
        <v>0</v>
      </c>
      <c r="AB16" s="82">
        <f>SUMIFS('Details-Products'!$Z$7:$Z$799999,'Details-Products'!$C$7:$C$799999,$B16,'Details-Products'!$BH$7:$BH$799999,AB$10,'Details-Products'!$W$7:$W$799999,"YES")</f>
        <v>0</v>
      </c>
      <c r="AC16" s="79">
        <f>COUNTIFS('Details-Products'!$C$7:$C$799999,$B16,'Details-Products'!$BH$7:$BH$799999,AC$10)</f>
        <v>0</v>
      </c>
      <c r="AD16" s="80">
        <f>COUNTIFS('Details-Products'!$C$7:$C$799999,$B16,'Details-Products'!$BH$7:$BH$799999,AD$10,'Details-Products'!$W$7:$W$799999,"YES")</f>
        <v>0</v>
      </c>
      <c r="AE16" s="84">
        <f>SUMIFS('Details-Products'!$Z$7:$Z$799999,'Details-Products'!$C$7:$C$799999,$B16,'Details-Products'!$BH$7:$BH$799999,AE$10,'Details-Products'!$W$7:$W$799999,"YES")</f>
        <v>0</v>
      </c>
      <c r="AF16" s="79">
        <f>COUNTIFS('Details-Products'!$C$7:$C$799999,$B16,'Details-Products'!$BH$7:$BH$799999,AF$10)</f>
        <v>0</v>
      </c>
      <c r="AG16" s="80">
        <f>COUNTIFS('Details-Products'!$C$7:$C$799999,$B16,'Details-Products'!$BH$7:$BH$799999,AG$10,'Details-Products'!$W$7:$W$799999,"YES")</f>
        <v>0</v>
      </c>
      <c r="AH16" s="83">
        <f>SUMIFS('Details-Products'!$Z$7:$Z$799999,'Details-Products'!$C$7:$C$799999,$B16,'Details-Products'!$BH$7:$BH$799999,AH$10,'Details-Products'!$W$7:$W$799999,"YES")</f>
        <v>0</v>
      </c>
      <c r="AI16" s="79">
        <f>COUNTIFS('Details-Products'!$C$7:$C$799999,$B16,'Details-Products'!$BH$7:$BH$799999,AI$10)</f>
        <v>0</v>
      </c>
      <c r="AJ16" s="80">
        <f>COUNTIFS('Details-Products'!$C$7:$C$799999,$B16,'Details-Products'!$BH$7:$BH$799999,AJ$10,'Details-Products'!$W$7:$W$799999,"YES")</f>
        <v>0</v>
      </c>
      <c r="AK16" s="83">
        <f>SUMIFS('Details-Products'!$Z$7:$Z$799999,'Details-Products'!$C$7:$C$799999,$B16,'Details-Products'!$BH$7:$BH$799999,AK$10,'Details-Products'!$W$7:$W$799999,"YES")</f>
        <v>0</v>
      </c>
      <c r="AL16" s="79">
        <f t="shared" si="10"/>
        <v>0</v>
      </c>
      <c r="AM16" s="80">
        <f t="shared" si="11"/>
        <v>0</v>
      </c>
      <c r="AN16" s="85">
        <f t="shared" si="12"/>
        <v>0</v>
      </c>
      <c r="AO16" s="79">
        <f>COUNTIFS('Details-Products'!$C$7:$C$799999,$B16,'Details-Products'!$BH$7:$BH$799999,AO$10)</f>
        <v>0</v>
      </c>
      <c r="AP16" s="80">
        <f>COUNTIFS('Details-Products'!$C$7:$C$799999,$B16,'Details-Products'!$BH$7:$BH$799999,AP$10,'Details-Products'!$W$7:$W$799999,"YES")</f>
        <v>0</v>
      </c>
      <c r="AQ16" s="87">
        <f>SUMIFS('Details-Products'!$Z$7:$Z$799999,'Details-Products'!$C$7:$C$799999,$B16,'Details-Products'!$BH$7:$BH$799999,AQ$10,'Details-Products'!$W$7:$W$799999,"YES")</f>
        <v>0</v>
      </c>
      <c r="AR16" s="79">
        <f>COUNTIFS('Details-Products'!$C$7:$C$799999,$B16,'Details-Products'!$BH$7:$BH$799999,AR$10)</f>
        <v>0</v>
      </c>
      <c r="AS16" s="80">
        <f>COUNTIFS('Details-Products'!$C$7:$C$799999,$B16,'Details-Products'!$BH$7:$BH$799999,AS$10,'Details-Products'!$W$7:$W$799999,"YES")</f>
        <v>0</v>
      </c>
      <c r="AT16" s="87">
        <f>SUMIFS('Details-Products'!$Z$7:$Z$799999,'Details-Products'!$C$7:$C$799999,$B16,'Details-Products'!$BH$7:$BH$799999,AT$10,'Details-Products'!$W$7:$W$799999,"YES")</f>
        <v>0</v>
      </c>
      <c r="AU16" s="79">
        <f>COUNTIFS('Details-Products'!$C$7:$C$799999,$B16,'Details-Products'!$BH$7:$BH$799999,AU$10)</f>
        <v>0</v>
      </c>
      <c r="AV16" s="80">
        <f>COUNTIFS('Details-Products'!$C$7:$C$799999,$B16,'Details-Products'!$BH$7:$BH$799999,AV$10,'Details-Products'!$W$7:$W$799999,"YES")</f>
        <v>0</v>
      </c>
      <c r="AW16" s="85">
        <f>SUMIFS('Details-Products'!$Z$7:$Z$799999,'Details-Products'!$C$7:$C$799999,$B16,'Details-Products'!$BH$7:$BH$799999,AW$10,'Details-Products'!$W$7:$W$799999,"YES")</f>
        <v>0</v>
      </c>
      <c r="AX16" s="86">
        <f>COUNTIFS('Details-Products'!$C$7:$C$799999,$B16,'Details-Products'!$BH$7:$BH$799999,AX$10)</f>
        <v>0</v>
      </c>
      <c r="AY16" s="80">
        <f>COUNTIFS('Details-Products'!$C$7:$C$799999,$B16,'Details-Products'!$BH$7:$BH$799999,AY$10,'Details-Products'!$W$7:$W$799999,"YES")</f>
        <v>0</v>
      </c>
      <c r="AZ16" s="88">
        <f>SUMIFS('Details-Products'!$Z$7:$Z$799999,'Details-Products'!$C$7:$C$799999,$B16,'Details-Products'!$BH$7:$BH$799999,AZ$10,'Details-Products'!$W$7:$W$799999,"YES")</f>
        <v>0</v>
      </c>
      <c r="BA16" s="79">
        <f>COUNTIFS('Details-Products'!$C$7:$C$799999,$B16,'Details-Products'!$BH$7:$BH$799999,BA$10)</f>
        <v>0</v>
      </c>
      <c r="BB16" s="80">
        <f>COUNTIFS('Details-Products'!$C$7:$C$799999,$B16,'Details-Products'!$BH$7:$BH$799999,BB$10,'Details-Products'!$W$7:$W$799999,"YES")</f>
        <v>0</v>
      </c>
      <c r="BC16" s="89">
        <f>SUMIFS('Details-Products'!$Z$7:$Z$799999,'Details-Products'!$C$7:$C$799999,$B16,'Details-Products'!$BH$7:$BH$799999,BC$10,'Details-Products'!$W$7:$W$799999,"YES")</f>
        <v>0</v>
      </c>
      <c r="BD16" s="86">
        <f>COUNTIFS('Details-Products'!$C$7:$C$799999,$B16,'Details-Products'!$BH$7:$BH$799999,BD$10)</f>
        <v>0</v>
      </c>
      <c r="BE16" s="80">
        <f>COUNTIFS('Details-Products'!$C$7:$C$799999,$B16,'Details-Products'!$BH$7:$BH$799999,BE$10,'Details-Products'!$W$7:$W$799999,"YES")</f>
        <v>0</v>
      </c>
      <c r="BF16" s="89">
        <f>SUMIFS('Details-Products'!$Z$7:$Z$799999,'Details-Products'!$C$7:$C$799999,$B16,'Details-Products'!$BH$7:$BH$799999,BF$10,'Details-Products'!$W$7:$W$799999,"YES")</f>
        <v>0</v>
      </c>
      <c r="BG16" s="79">
        <f t="shared" si="13"/>
        <v>0</v>
      </c>
      <c r="BH16" s="80">
        <f t="shared" si="14"/>
        <v>0</v>
      </c>
      <c r="BI16" s="88">
        <f t="shared" si="15"/>
        <v>0</v>
      </c>
    </row>
    <row r="17" spans="1:61" ht="16.5" thickBot="1" x14ac:dyDescent="0.3">
      <c r="A17" s="114"/>
      <c r="B17" s="91">
        <v>78</v>
      </c>
      <c r="C17" s="91"/>
      <c r="D17" s="92" t="s">
        <v>42</v>
      </c>
      <c r="E17" s="93">
        <f>COUNTIFS('Details-Products'!C8:C99999,B17,'Details-Products'!BH8:BH99999,E12)</f>
        <v>0</v>
      </c>
      <c r="F17" s="94">
        <f>COUNTIFS('Details-Products'!$C$7:$C$99997,$B17,'Details-Products'!$BH$7:$BH$99997,F$10,'Details-Products'!$W$7:$W$99997,"YES")</f>
        <v>0</v>
      </c>
      <c r="G17" s="95">
        <f>SUMIFS('Details-Products'!$Z$7:$Z$99997,'Details-Products'!$C$7:$C$99997,$B17,'Details-Products'!$BH$7:$BH$99997,G$10,'Details-Products'!$W$7:$W$99997,"YES")</f>
        <v>0</v>
      </c>
      <c r="H17" s="93">
        <f>COUNTIFS('Details-Products'!$C$7:$C$99997,$B17,'Details-Products'!$BH$7:$BH$99997,H$10)</f>
        <v>0</v>
      </c>
      <c r="I17" s="94">
        <f>COUNTIFS('Details-Products'!$C$7:$C$799999,$B17,'Details-Products'!$BH$7:$BH$799999,I$10,'Details-Products'!$W$7:$W$799999,"YES")</f>
        <v>0</v>
      </c>
      <c r="J17" s="96">
        <f>SUMIFS('Details-Products'!$Z$7:$Z$799999,'Details-Products'!$C$7:$C$799999,$B17,'Details-Products'!$BH$7:$BH$799999,J$10,'Details-Products'!$W$7:$W$799999,"YES")</f>
        <v>0</v>
      </c>
      <c r="K17" s="93">
        <f>COUNTIFS('Details-Products'!$C$7:$C$99997,$B17,'Details-Products'!$BH$7:$BH$99997,K$10)</f>
        <v>0</v>
      </c>
      <c r="L17" s="94">
        <f>COUNTIFS('Details-Products'!$C$7:$C$799999,$B17,'Details-Products'!$BH$7:$BH$799999,L$10,'Details-Products'!$W$7:$W$799999,"YES")</f>
        <v>0</v>
      </c>
      <c r="M17" s="97">
        <f>SUMIFS('Details-Products'!$Z$7:$Z$799999,'Details-Products'!$C$7:$C$799999,$B17,'Details-Products'!$BH$7:$BH$799999,M$10,'Details-Products'!$W$7:$W$799999,"YES")</f>
        <v>0</v>
      </c>
      <c r="N17" s="98">
        <f t="shared" si="0"/>
        <v>0</v>
      </c>
      <c r="O17" s="99">
        <f t="shared" si="1"/>
        <v>0</v>
      </c>
      <c r="P17" s="100">
        <f t="shared" si="2"/>
        <v>0</v>
      </c>
      <c r="Q17" s="99" t="e">
        <f>VLOOKUP($D17,Ttl_Inv!$A$4:$C$21,3,FALSE)</f>
        <v>#N/A</v>
      </c>
      <c r="R17" s="101" t="e">
        <f t="shared" si="3"/>
        <v>#N/A</v>
      </c>
      <c r="S17" s="102">
        <f>SUMIFS(UPCS!R:R,UPCS!B:B,B17)</f>
        <v>0</v>
      </c>
      <c r="T17" s="103" t="e">
        <f t="shared" si="4"/>
        <v>#N/A</v>
      </c>
      <c r="U17" s="115">
        <f t="shared" si="5"/>
        <v>0</v>
      </c>
      <c r="V17" s="116" t="e">
        <f t="shared" si="6"/>
        <v>#N/A</v>
      </c>
      <c r="W17" s="104">
        <f t="shared" si="7"/>
        <v>0</v>
      </c>
      <c r="X17" s="105">
        <f t="shared" si="8"/>
        <v>0</v>
      </c>
      <c r="Y17" s="106">
        <f t="shared" si="9"/>
        <v>0</v>
      </c>
      <c r="Z17" s="104">
        <f>COUNTIFS('Details-Products'!$C$7:$C$99997,$B17,'Details-Products'!$BH$7:$BH$99997,Z$10)</f>
        <v>0</v>
      </c>
      <c r="AA17" s="105">
        <f>COUNTIFS('Details-Products'!$C$7:$C$799999,$B17,'Details-Products'!$BH$7:$BH$799999,AA$10,'Details-Products'!$W$7:$W$799999,"YES")</f>
        <v>0</v>
      </c>
      <c r="AB17" s="107">
        <f>SUMIFS('Details-Products'!$Z$7:$Z$799999,'Details-Products'!$C$7:$C$799999,$B17,'Details-Products'!$BH$7:$BH$799999,AB$10,'Details-Products'!$W$7:$W$799999,"YES")</f>
        <v>0</v>
      </c>
      <c r="AC17" s="104">
        <f>COUNTIFS('Details-Products'!$C$7:$C$799999,$B17,'Details-Products'!$BH$7:$BH$799999,AC$10)</f>
        <v>0</v>
      </c>
      <c r="AD17" s="105">
        <f>COUNTIFS('Details-Products'!$C$7:$C$799999,$B17,'Details-Products'!$BH$7:$BH$799999,AD$10,'Details-Products'!$W$7:$W$799999,"YES")</f>
        <v>0</v>
      </c>
      <c r="AE17" s="108">
        <f>SUMIFS('Details-Products'!$Z$7:$Z$799999,'Details-Products'!$C$7:$C$799999,$B17,'Details-Products'!$BH$7:$BH$799999,AE$10,'Details-Products'!$W$7:$W$799999,"YES")</f>
        <v>0</v>
      </c>
      <c r="AF17" s="104">
        <f>COUNTIFS('Details-Products'!$C$7:$C$799999,$B17,'Details-Products'!$BH$7:$BH$799999,AF$10)</f>
        <v>0</v>
      </c>
      <c r="AG17" s="105">
        <f>COUNTIFS('Details-Products'!$C$7:$C$799999,$B17,'Details-Products'!$BH$7:$BH$799999,AG$10,'Details-Products'!$W$7:$W$799999,"YES")</f>
        <v>0</v>
      </c>
      <c r="AH17" s="108">
        <f>SUMIFS('Details-Products'!$Z$7:$Z$799999,'Details-Products'!$C$7:$C$799999,$B17,'Details-Products'!$BH$7:$BH$799999,AH$10,'Details-Products'!$W$7:$W$799999,"YES")</f>
        <v>0</v>
      </c>
      <c r="AI17" s="104">
        <f>COUNTIFS('Details-Products'!$C$7:$C$799999,$B17,'Details-Products'!$BH$7:$BH$799999,AI$10)</f>
        <v>0</v>
      </c>
      <c r="AJ17" s="105">
        <f>COUNTIFS('Details-Products'!$C$7:$C$799999,$B17,'Details-Products'!$BH$7:$BH$799999,AJ$10,'Details-Products'!$W$7:$W$799999,"YES")</f>
        <v>0</v>
      </c>
      <c r="AK17" s="108">
        <f>SUMIFS('Details-Products'!$Z$7:$Z$799999,'Details-Products'!$C$7:$C$799999,$B17,'Details-Products'!$BH$7:$BH$799999,AK$10,'Details-Products'!$W$7:$W$799999,"YES")</f>
        <v>0</v>
      </c>
      <c r="AL17" s="104">
        <f t="shared" si="10"/>
        <v>0</v>
      </c>
      <c r="AM17" s="105">
        <f t="shared" si="11"/>
        <v>0</v>
      </c>
      <c r="AN17" s="109">
        <f t="shared" si="12"/>
        <v>0</v>
      </c>
      <c r="AO17" s="104">
        <f>COUNTIFS('Details-Products'!$C$7:$C$799999,$B17,'Details-Products'!$BH$7:$BH$799999,AO$10)</f>
        <v>0</v>
      </c>
      <c r="AP17" s="105">
        <f>COUNTIFS('Details-Products'!$C$7:$C$799999,$B17,'Details-Products'!$BH$7:$BH$799999,AP$10,'Details-Products'!$W$7:$W$799999,"YES")</f>
        <v>0</v>
      </c>
      <c r="AQ17" s="111">
        <f>SUMIFS('Details-Products'!$Z$7:$Z$799999,'Details-Products'!$C$7:$C$799999,$B17,'Details-Products'!$BH$7:$BH$799999,AQ$10,'Details-Products'!$W$7:$W$799999,"YES")</f>
        <v>0</v>
      </c>
      <c r="AR17" s="104">
        <f>COUNTIFS('Details-Products'!$C$7:$C$799999,$B17,'Details-Products'!$BH$7:$BH$799999,AR$10)</f>
        <v>0</v>
      </c>
      <c r="AS17" s="105">
        <f>COUNTIFS('Details-Products'!$C$7:$C$799999,$B17,'Details-Products'!$BH$7:$BH$799999,AS$10,'Details-Products'!$W$7:$W$799999,"YES")</f>
        <v>0</v>
      </c>
      <c r="AT17" s="111">
        <f>SUMIFS('Details-Products'!$Z$7:$Z$799999,'Details-Products'!$C$7:$C$799999,$B17,'Details-Products'!$BH$7:$BH$799999,AT$10,'Details-Products'!$W$7:$W$799999,"YES")</f>
        <v>0</v>
      </c>
      <c r="AU17" s="104">
        <f>COUNTIFS('Details-Products'!$C$7:$C$799999,$B17,'Details-Products'!$BH$7:$BH$799999,AU$10)</f>
        <v>0</v>
      </c>
      <c r="AV17" s="105">
        <f>COUNTIFS('Details-Products'!$C$7:$C$799999,$B17,'Details-Products'!$BH$7:$BH$799999,AV$10,'Details-Products'!$W$7:$W$799999,"YES")</f>
        <v>0</v>
      </c>
      <c r="AW17" s="109">
        <f>SUMIFS('Details-Products'!$Z$7:$Z$799999,'Details-Products'!$C$7:$C$799999,$B17,'Details-Products'!$BH$7:$BH$799999,AW$10,'Details-Products'!$W$7:$W$799999,"YES")</f>
        <v>0</v>
      </c>
      <c r="AX17" s="110">
        <f>COUNTIFS('Details-Products'!$C$7:$C$799999,$B17,'Details-Products'!$BH$7:$BH$799999,AX$10)</f>
        <v>0</v>
      </c>
      <c r="AY17" s="105">
        <f>COUNTIFS('Details-Products'!$C$7:$C$799999,$B17,'Details-Products'!$BH$7:$BH$799999,AY$10,'Details-Products'!$W$7:$W$799999,"YES")</f>
        <v>0</v>
      </c>
      <c r="AZ17" s="112">
        <f>SUMIFS('Details-Products'!$Z$7:$Z$799999,'Details-Products'!$C$7:$C$799999,$B17,'Details-Products'!$BH$7:$BH$799999,AZ$10,'Details-Products'!$W$7:$W$799999,"YES")</f>
        <v>0</v>
      </c>
      <c r="BA17" s="104">
        <f>COUNTIFS('Details-Products'!$C$7:$C$799999,$B17,'Details-Products'!$BH$7:$BH$799999,BA$10)</f>
        <v>0</v>
      </c>
      <c r="BB17" s="105">
        <f>COUNTIFS('Details-Products'!$C$7:$C$799999,$B17,'Details-Products'!$BH$7:$BH$799999,BB$10,'Details-Products'!$W$7:$W$799999,"YES")</f>
        <v>0</v>
      </c>
      <c r="BC17" s="113">
        <f>SUMIFS('Details-Products'!$Z$7:$Z$799999,'Details-Products'!$C$7:$C$799999,$B17,'Details-Products'!$BH$7:$BH$799999,BC$10,'Details-Products'!$W$7:$W$799999,"YES")</f>
        <v>0</v>
      </c>
      <c r="BD17" s="110">
        <f>COUNTIFS('Details-Products'!$C$7:$C$799999,$B17,'Details-Products'!$BH$7:$BH$799999,BD$10)</f>
        <v>0</v>
      </c>
      <c r="BE17" s="105">
        <f>COUNTIFS('Details-Products'!$C$7:$C$799999,$B17,'Details-Products'!$BH$7:$BH$799999,BE$10,'Details-Products'!$W$7:$W$799999,"YES")</f>
        <v>0</v>
      </c>
      <c r="BF17" s="113">
        <f>SUMIFS('Details-Products'!$Z$7:$Z$799999,'Details-Products'!$C$7:$C$799999,$B17,'Details-Products'!$BH$7:$BH$799999,BF$10,'Details-Products'!$W$7:$W$799999,"YES")</f>
        <v>0</v>
      </c>
      <c r="BG17" s="104">
        <f t="shared" si="13"/>
        <v>0</v>
      </c>
      <c r="BH17" s="105">
        <f t="shared" si="14"/>
        <v>0</v>
      </c>
      <c r="BI17" s="112">
        <f t="shared" si="15"/>
        <v>0</v>
      </c>
    </row>
    <row r="18" spans="1:61" ht="16.5" thickBot="1" x14ac:dyDescent="0.3">
      <c r="A18" s="66"/>
      <c r="B18" s="67">
        <v>47</v>
      </c>
      <c r="C18" s="67"/>
      <c r="D18" s="68" t="s">
        <v>43</v>
      </c>
      <c r="E18" s="69">
        <f>COUNTIFS('Details-Products'!C9:C100000,B18,'Details-Products'!BH9:BH100000,E13)</f>
        <v>0</v>
      </c>
      <c r="F18" s="70">
        <f>COUNTIFS('Details-Products'!$C$7:$C$99997,$B18,'Details-Products'!$BH$7:$BH$99997,F$10,'Details-Products'!$W$7:$W$99997,"YES")</f>
        <v>0</v>
      </c>
      <c r="G18" s="71">
        <f>SUMIFS('Details-Products'!$Z$7:$Z$99997,'Details-Products'!$C$7:$C$99997,$B18,'Details-Products'!$BH$7:$BH$99997,G$10,'Details-Products'!$W$7:$W$99997,"YES")</f>
        <v>0</v>
      </c>
      <c r="H18" s="69">
        <f>COUNTIFS('Details-Products'!$C$7:$C$99997,$B18,'Details-Products'!$BH$7:$BH$99997,H$10)</f>
        <v>0</v>
      </c>
      <c r="I18" s="70">
        <f>COUNTIFS('Details-Products'!$C$7:$C$799999,$B18,'Details-Products'!$BH$7:$BH$799999,I$10,'Details-Products'!$W$7:$W$799999,"YES")</f>
        <v>0</v>
      </c>
      <c r="J18" s="71">
        <f>SUMIFS('Details-Products'!$Z$7:$Z$799999,'Details-Products'!$C$7:$C$799999,$B18,'Details-Products'!$BH$7:$BH$799999,J$10,'Details-Products'!$W$7:$W$799999,"YES")</f>
        <v>0</v>
      </c>
      <c r="K18" s="69">
        <f>COUNTIFS('Details-Products'!$C$7:$C$99997,$B18,'Details-Products'!$BH$7:$BH$99997,K$10)</f>
        <v>0</v>
      </c>
      <c r="L18" s="70">
        <f>COUNTIFS('Details-Products'!$C$7:$C$799999,$B18,'Details-Products'!$BH$7:$BH$799999,L$10,'Details-Products'!$W$7:$W$799999,"YES")</f>
        <v>0</v>
      </c>
      <c r="M18" s="72">
        <f>SUMIFS('Details-Products'!$Z$7:$Z$799999,'Details-Products'!$C$7:$C$799999,$B18,'Details-Products'!$BH$7:$BH$799999,M$10,'Details-Products'!$W$7:$W$799999,"YES")</f>
        <v>0</v>
      </c>
      <c r="N18" s="73">
        <f t="shared" si="0"/>
        <v>0</v>
      </c>
      <c r="O18" s="74">
        <f t="shared" si="1"/>
        <v>0</v>
      </c>
      <c r="P18" s="75">
        <f t="shared" si="2"/>
        <v>0</v>
      </c>
      <c r="Q18" s="74" t="e">
        <f>VLOOKUP($D18,Ttl_Inv!$A$4:$C$21,3,FALSE)</f>
        <v>#N/A</v>
      </c>
      <c r="R18" s="76" t="e">
        <f t="shared" si="3"/>
        <v>#N/A</v>
      </c>
      <c r="S18" s="77">
        <f>SUMIFS(UPCS!R:R,UPCS!B:B,B18)</f>
        <v>0</v>
      </c>
      <c r="T18" s="78" t="e">
        <f t="shared" si="4"/>
        <v>#N/A</v>
      </c>
      <c r="U18" s="77">
        <f t="shared" si="5"/>
        <v>0</v>
      </c>
      <c r="V18" s="78" t="e">
        <f t="shared" si="6"/>
        <v>#N/A</v>
      </c>
      <c r="W18" s="79">
        <f t="shared" si="7"/>
        <v>0</v>
      </c>
      <c r="X18" s="80">
        <f t="shared" si="8"/>
        <v>0</v>
      </c>
      <c r="Y18" s="81">
        <f t="shared" si="9"/>
        <v>0</v>
      </c>
      <c r="Z18" s="79">
        <f>COUNTIFS('Details-Products'!$C$7:$C$99997,$B18,'Details-Products'!$BH$7:$BH$99997,Z$10)</f>
        <v>0</v>
      </c>
      <c r="AA18" s="80">
        <f>COUNTIFS('Details-Products'!$C$7:$C$799999,$B18,'Details-Products'!$BH$7:$BH$799999,AA$10,'Details-Products'!$W$7:$W$799999,"YES")</f>
        <v>0</v>
      </c>
      <c r="AB18" s="82">
        <f>SUMIFS('Details-Products'!$Z$7:$Z$799999,'Details-Products'!$C$7:$C$799999,$B18,'Details-Products'!$BH$7:$BH$799999,AB$10,'Details-Products'!$W$7:$W$799999,"YES")</f>
        <v>0</v>
      </c>
      <c r="AC18" s="79">
        <f>COUNTIFS('Details-Products'!$C$7:$C$799999,$B18,'Details-Products'!$BH$7:$BH$799999,AC$10)</f>
        <v>0</v>
      </c>
      <c r="AD18" s="80">
        <f>COUNTIFS('Details-Products'!$C$7:$C$799999,$B18,'Details-Products'!$BH$7:$BH$799999,AD$10,'Details-Products'!$W$7:$W$799999,"YES")</f>
        <v>0</v>
      </c>
      <c r="AE18" s="84">
        <f>SUMIFS('Details-Products'!$Z$7:$Z$799999,'Details-Products'!$C$7:$C$799999,$B18,'Details-Products'!$BH$7:$BH$799999,AE$10,'Details-Products'!$W$7:$W$799999,"YES")</f>
        <v>0</v>
      </c>
      <c r="AF18" s="79">
        <f>COUNTIFS('Details-Products'!$C$7:$C$799999,$B18,'Details-Products'!$BH$7:$BH$799999,AF$10)</f>
        <v>0</v>
      </c>
      <c r="AG18" s="80">
        <f>COUNTIFS('Details-Products'!$C$7:$C$799999,$B18,'Details-Products'!$BH$7:$BH$799999,AG$10,'Details-Products'!$W$7:$W$799999,"YES")</f>
        <v>0</v>
      </c>
      <c r="AH18" s="83">
        <f>SUMIFS('Details-Products'!$Z$7:$Z$799999,'Details-Products'!$C$7:$C$799999,$B18,'Details-Products'!$BH$7:$BH$799999,AH$10,'Details-Products'!$W$7:$W$799999,"YES")</f>
        <v>0</v>
      </c>
      <c r="AI18" s="79">
        <f>COUNTIFS('Details-Products'!$C$7:$C$799999,$B18,'Details-Products'!$BH$7:$BH$799999,AI$10)</f>
        <v>0</v>
      </c>
      <c r="AJ18" s="80">
        <f>COUNTIFS('Details-Products'!$C$7:$C$799999,$B18,'Details-Products'!$BH$7:$BH$799999,AJ$10,'Details-Products'!$W$7:$W$799999,"YES")</f>
        <v>0</v>
      </c>
      <c r="AK18" s="83">
        <f>SUMIFS('Details-Products'!$Z$7:$Z$799999,'Details-Products'!$C$7:$C$799999,$B18,'Details-Products'!$BH$7:$BH$799999,AK$10,'Details-Products'!$W$7:$W$799999,"YES")</f>
        <v>0</v>
      </c>
      <c r="AL18" s="79">
        <f t="shared" si="10"/>
        <v>0</v>
      </c>
      <c r="AM18" s="80">
        <f t="shared" si="11"/>
        <v>0</v>
      </c>
      <c r="AN18" s="85">
        <f t="shared" si="12"/>
        <v>0</v>
      </c>
      <c r="AO18" s="79">
        <f>COUNTIFS('Details-Products'!$C$7:$C$799999,$B18,'Details-Products'!$BH$7:$BH$799999,AO$10)</f>
        <v>0</v>
      </c>
      <c r="AP18" s="80">
        <f>COUNTIFS('Details-Products'!$C$7:$C$799999,$B18,'Details-Products'!$BH$7:$BH$799999,AP$10,'Details-Products'!$W$7:$W$799999,"YES")</f>
        <v>0</v>
      </c>
      <c r="AQ18" s="87">
        <f>SUMIFS('Details-Products'!$Z$7:$Z$799999,'Details-Products'!$C$7:$C$799999,$B18,'Details-Products'!$BH$7:$BH$799999,AQ$10,'Details-Products'!$W$7:$W$799999,"YES")</f>
        <v>0</v>
      </c>
      <c r="AR18" s="79">
        <f>COUNTIFS('Details-Products'!$C$7:$C$799999,$B18,'Details-Products'!$BH$7:$BH$799999,AR$10)</f>
        <v>0</v>
      </c>
      <c r="AS18" s="80">
        <f>COUNTIFS('Details-Products'!$C$7:$C$799999,$B18,'Details-Products'!$BH$7:$BH$799999,AS$10,'Details-Products'!$W$7:$W$799999,"YES")</f>
        <v>0</v>
      </c>
      <c r="AT18" s="87">
        <f>SUMIFS('Details-Products'!$Z$7:$Z$799999,'Details-Products'!$C$7:$C$799999,$B18,'Details-Products'!$BH$7:$BH$799999,AT$10,'Details-Products'!$W$7:$W$799999,"YES")</f>
        <v>0</v>
      </c>
      <c r="AU18" s="79">
        <f>COUNTIFS('Details-Products'!$C$7:$C$799999,$B18,'Details-Products'!$BH$7:$BH$799999,AU$10)</f>
        <v>0</v>
      </c>
      <c r="AV18" s="80">
        <f>COUNTIFS('Details-Products'!$C$7:$C$799999,$B18,'Details-Products'!$BH$7:$BH$799999,AV$10,'Details-Products'!$W$7:$W$799999,"YES")</f>
        <v>0</v>
      </c>
      <c r="AW18" s="85">
        <f>SUMIFS('Details-Products'!$Z$7:$Z$799999,'Details-Products'!$C$7:$C$799999,$B18,'Details-Products'!$BH$7:$BH$799999,AW$10,'Details-Products'!$W$7:$W$799999,"YES")</f>
        <v>0</v>
      </c>
      <c r="AX18" s="86">
        <f>COUNTIFS('Details-Products'!$C$7:$C$799999,$B18,'Details-Products'!$BH$7:$BH$799999,AX$10)</f>
        <v>0</v>
      </c>
      <c r="AY18" s="80">
        <f>COUNTIFS('Details-Products'!$C$7:$C$799999,$B18,'Details-Products'!$BH$7:$BH$799999,AY$10,'Details-Products'!$W$7:$W$799999,"YES")</f>
        <v>0</v>
      </c>
      <c r="AZ18" s="88">
        <f>SUMIFS('Details-Products'!$Z$7:$Z$799999,'Details-Products'!$C$7:$C$799999,$B18,'Details-Products'!$BH$7:$BH$799999,AZ$10,'Details-Products'!$W$7:$W$799999,"YES")</f>
        <v>0</v>
      </c>
      <c r="BA18" s="79">
        <f>COUNTIFS('Details-Products'!$C$7:$C$799999,$B18,'Details-Products'!$BH$7:$BH$799999,BA$10)</f>
        <v>0</v>
      </c>
      <c r="BB18" s="80">
        <f>COUNTIFS('Details-Products'!$C$7:$C$799999,$B18,'Details-Products'!$BH$7:$BH$799999,BB$10,'Details-Products'!$W$7:$W$799999,"YES")</f>
        <v>0</v>
      </c>
      <c r="BC18" s="89">
        <f>SUMIFS('Details-Products'!$Z$7:$Z$799999,'Details-Products'!$C$7:$C$799999,$B18,'Details-Products'!$BH$7:$BH$799999,BC$10,'Details-Products'!$W$7:$W$799999,"YES")</f>
        <v>0</v>
      </c>
      <c r="BD18" s="86">
        <f>COUNTIFS('Details-Products'!$C$7:$C$799999,$B18,'Details-Products'!$BH$7:$BH$799999,BD$10)</f>
        <v>0</v>
      </c>
      <c r="BE18" s="80">
        <f>COUNTIFS('Details-Products'!$C$7:$C$799999,$B18,'Details-Products'!$BH$7:$BH$799999,BE$10,'Details-Products'!$W$7:$W$799999,"YES")</f>
        <v>0</v>
      </c>
      <c r="BF18" s="89">
        <f>SUMIFS('Details-Products'!$Z$7:$Z$799999,'Details-Products'!$C$7:$C$799999,$B18,'Details-Products'!$BH$7:$BH$799999,BF$10,'Details-Products'!$W$7:$W$799999,"YES")</f>
        <v>0</v>
      </c>
      <c r="BG18" s="79">
        <f t="shared" si="13"/>
        <v>0</v>
      </c>
      <c r="BH18" s="80">
        <f t="shared" si="14"/>
        <v>0</v>
      </c>
      <c r="BI18" s="88">
        <f t="shared" si="15"/>
        <v>0</v>
      </c>
    </row>
    <row r="19" spans="1:61" ht="16.5" thickBot="1" x14ac:dyDescent="0.3">
      <c r="A19" s="117"/>
      <c r="B19" s="91">
        <v>77</v>
      </c>
      <c r="C19" s="91"/>
      <c r="D19" s="92" t="s">
        <v>44</v>
      </c>
      <c r="E19" s="93">
        <f>COUNTIFS('Details-Products'!C10:C100001,B19,'Details-Products'!BH10:BH100001,E14)</f>
        <v>0</v>
      </c>
      <c r="F19" s="94">
        <f>COUNTIFS('Details-Products'!$C$7:$C$99997,$B19,'Details-Products'!$BH$7:$BH$99997,F$10,'Details-Products'!$W$7:$W$99997,"YES")</f>
        <v>0</v>
      </c>
      <c r="G19" s="95">
        <f>SUMIFS('Details-Products'!$Z$7:$Z$99997,'Details-Products'!$C$7:$C$99997,$B19,'Details-Products'!$BH$7:$BH$99997,G$10,'Details-Products'!$W$7:$W$99997,"YES")</f>
        <v>0</v>
      </c>
      <c r="H19" s="93">
        <f>COUNTIFS('Details-Products'!$C$7:$C$99997,$B19,'Details-Products'!$BH$7:$BH$99997,H$10)</f>
        <v>0</v>
      </c>
      <c r="I19" s="94">
        <f>COUNTIFS('Details-Products'!$C$7:$C$799999,$B19,'Details-Products'!$BH$7:$BH$799999,I$10,'Details-Products'!$W$7:$W$799999,"YES")</f>
        <v>0</v>
      </c>
      <c r="J19" s="96">
        <f>SUMIFS('Details-Products'!$Z$7:$Z$799999,'Details-Products'!$C$7:$C$799999,$B19,'Details-Products'!$BH$7:$BH$799999,J$10,'Details-Products'!$W$7:$W$799999,"YES")</f>
        <v>0</v>
      </c>
      <c r="K19" s="93">
        <f>COUNTIFS('Details-Products'!$C$7:$C$99997,$B19,'Details-Products'!$BH$7:$BH$99997,K$10)</f>
        <v>0</v>
      </c>
      <c r="L19" s="94">
        <f>COUNTIFS('Details-Products'!$C$7:$C$799999,$B19,'Details-Products'!$BH$7:$BH$799999,L$10,'Details-Products'!$W$7:$W$799999,"YES")</f>
        <v>0</v>
      </c>
      <c r="M19" s="97">
        <f>SUMIFS('Details-Products'!$Z$7:$Z$799999,'Details-Products'!$C$7:$C$799999,$B19,'Details-Products'!$BH$7:$BH$799999,M$10,'Details-Products'!$W$7:$W$799999,"YES")</f>
        <v>0</v>
      </c>
      <c r="N19" s="98">
        <f t="shared" si="0"/>
        <v>0</v>
      </c>
      <c r="O19" s="99">
        <f t="shared" si="1"/>
        <v>0</v>
      </c>
      <c r="P19" s="100">
        <f t="shared" si="2"/>
        <v>0</v>
      </c>
      <c r="Q19" s="99" t="e">
        <f>VLOOKUP($D19,Ttl_Inv!$A$4:$C$21,3,FALSE)</f>
        <v>#N/A</v>
      </c>
      <c r="R19" s="101" t="e">
        <f t="shared" si="3"/>
        <v>#N/A</v>
      </c>
      <c r="S19" s="102">
        <f>SUMIFS(UPCS!R:R,UPCS!B:B,B19)</f>
        <v>0</v>
      </c>
      <c r="T19" s="103" t="e">
        <f t="shared" si="4"/>
        <v>#N/A</v>
      </c>
      <c r="U19" s="115">
        <f t="shared" si="5"/>
        <v>0</v>
      </c>
      <c r="V19" s="116" t="e">
        <f t="shared" si="6"/>
        <v>#N/A</v>
      </c>
      <c r="W19" s="104">
        <f t="shared" si="7"/>
        <v>0</v>
      </c>
      <c r="X19" s="105">
        <f t="shared" si="8"/>
        <v>0</v>
      </c>
      <c r="Y19" s="106">
        <f t="shared" si="9"/>
        <v>0</v>
      </c>
      <c r="Z19" s="104">
        <f>COUNTIFS('Details-Products'!$C$7:$C$99997,$B19,'Details-Products'!$BH$7:$BH$99997,Z$10)</f>
        <v>0</v>
      </c>
      <c r="AA19" s="105">
        <f>COUNTIFS('Details-Products'!$C$7:$C$799999,$B19,'Details-Products'!$BH$7:$BH$799999,AA$10,'Details-Products'!$W$7:$W$799999,"YES")</f>
        <v>0</v>
      </c>
      <c r="AB19" s="107">
        <f>SUMIFS('Details-Products'!$Z$7:$Z$799999,'Details-Products'!$C$7:$C$799999,$B19,'Details-Products'!$BH$7:$BH$799999,AB$10,'Details-Products'!$W$7:$W$799999,"YES")</f>
        <v>0</v>
      </c>
      <c r="AC19" s="104">
        <f>COUNTIFS('Details-Products'!$C$7:$C$799999,$B19,'Details-Products'!$BH$7:$BH$799999,AC$10)</f>
        <v>0</v>
      </c>
      <c r="AD19" s="105">
        <f>COUNTIFS('Details-Products'!$C$7:$C$799999,$B19,'Details-Products'!$BH$7:$BH$799999,AD$10,'Details-Products'!$W$7:$W$799999,"YES")</f>
        <v>0</v>
      </c>
      <c r="AE19" s="108">
        <f>SUMIFS('Details-Products'!$Z$7:$Z$799999,'Details-Products'!$C$7:$C$799999,$B19,'Details-Products'!$BH$7:$BH$799999,AE$10,'Details-Products'!$W$7:$W$799999,"YES")</f>
        <v>0</v>
      </c>
      <c r="AF19" s="104">
        <f>COUNTIFS('Details-Products'!$C$7:$C$799999,$B19,'Details-Products'!$BH$7:$BH$799999,AF$10)</f>
        <v>0</v>
      </c>
      <c r="AG19" s="105">
        <f>COUNTIFS('Details-Products'!$C$7:$C$799999,$B19,'Details-Products'!$BH$7:$BH$799999,AG$10,'Details-Products'!$W$7:$W$799999,"YES")</f>
        <v>0</v>
      </c>
      <c r="AH19" s="108">
        <f>SUMIFS('Details-Products'!$Z$7:$Z$799999,'Details-Products'!$C$7:$C$799999,$B19,'Details-Products'!$BH$7:$BH$799999,AH$10,'Details-Products'!$W$7:$W$799999,"YES")</f>
        <v>0</v>
      </c>
      <c r="AI19" s="104">
        <f>COUNTIFS('Details-Products'!$C$7:$C$799999,$B19,'Details-Products'!$BH$7:$BH$799999,AI$10)</f>
        <v>0</v>
      </c>
      <c r="AJ19" s="105">
        <f>COUNTIFS('Details-Products'!$C$7:$C$799999,$B19,'Details-Products'!$BH$7:$BH$799999,AJ$10,'Details-Products'!$W$7:$W$799999,"YES")</f>
        <v>0</v>
      </c>
      <c r="AK19" s="108">
        <f>SUMIFS('Details-Products'!$Z$7:$Z$799999,'Details-Products'!$C$7:$C$799999,$B19,'Details-Products'!$BH$7:$BH$799999,AK$10,'Details-Products'!$W$7:$W$799999,"YES")</f>
        <v>0</v>
      </c>
      <c r="AL19" s="104">
        <f t="shared" si="10"/>
        <v>0</v>
      </c>
      <c r="AM19" s="105">
        <f t="shared" si="11"/>
        <v>0</v>
      </c>
      <c r="AN19" s="109">
        <f t="shared" si="12"/>
        <v>0</v>
      </c>
      <c r="AO19" s="104">
        <f>COUNTIFS('Details-Products'!$C$7:$C$799999,$B19,'Details-Products'!$BH$7:$BH$799999,AO$10)</f>
        <v>0</v>
      </c>
      <c r="AP19" s="105">
        <f>COUNTIFS('Details-Products'!$C$7:$C$799999,$B19,'Details-Products'!$BH$7:$BH$799999,AP$10,'Details-Products'!$W$7:$W$799999,"YES")</f>
        <v>0</v>
      </c>
      <c r="AQ19" s="111">
        <f>SUMIFS('Details-Products'!$Z$7:$Z$799999,'Details-Products'!$C$7:$C$799999,$B19,'Details-Products'!$BH$7:$BH$799999,AQ$10,'Details-Products'!$W$7:$W$799999,"YES")</f>
        <v>0</v>
      </c>
      <c r="AR19" s="104">
        <f>COUNTIFS('Details-Products'!$C$7:$C$799999,$B19,'Details-Products'!$BH$7:$BH$799999,AR$10)</f>
        <v>0</v>
      </c>
      <c r="AS19" s="105">
        <f>COUNTIFS('Details-Products'!$C$7:$C$799999,$B19,'Details-Products'!$BH$7:$BH$799999,AS$10,'Details-Products'!$W$7:$W$799999,"YES")</f>
        <v>0</v>
      </c>
      <c r="AT19" s="111">
        <f>SUMIFS('Details-Products'!$Z$7:$Z$799999,'Details-Products'!$C$7:$C$799999,$B19,'Details-Products'!$BH$7:$BH$799999,AT$10,'Details-Products'!$W$7:$W$799999,"YES")</f>
        <v>0</v>
      </c>
      <c r="AU19" s="104">
        <f>COUNTIFS('Details-Products'!$C$7:$C$799999,$B19,'Details-Products'!$BH$7:$BH$799999,AU$10)</f>
        <v>0</v>
      </c>
      <c r="AV19" s="105">
        <f>COUNTIFS('Details-Products'!$C$7:$C$799999,$B19,'Details-Products'!$BH$7:$BH$799999,AV$10,'Details-Products'!$W$7:$W$799999,"YES")</f>
        <v>0</v>
      </c>
      <c r="AW19" s="109">
        <f>SUMIFS('Details-Products'!$Z$7:$Z$799999,'Details-Products'!$C$7:$C$799999,$B19,'Details-Products'!$BH$7:$BH$799999,AW$10,'Details-Products'!$W$7:$W$799999,"YES")</f>
        <v>0</v>
      </c>
      <c r="AX19" s="110">
        <f>COUNTIFS('Details-Products'!$C$7:$C$799999,$B19,'Details-Products'!$BH$7:$BH$799999,AX$10)</f>
        <v>0</v>
      </c>
      <c r="AY19" s="105">
        <f>COUNTIFS('Details-Products'!$C$7:$C$799999,$B19,'Details-Products'!$BH$7:$BH$799999,AY$10,'Details-Products'!$W$7:$W$799999,"YES")</f>
        <v>0</v>
      </c>
      <c r="AZ19" s="112">
        <f>SUMIFS('Details-Products'!$Z$7:$Z$799999,'Details-Products'!$C$7:$C$799999,$B19,'Details-Products'!$BH$7:$BH$799999,AZ$10,'Details-Products'!$W$7:$W$799999,"YES")</f>
        <v>0</v>
      </c>
      <c r="BA19" s="104">
        <f>COUNTIFS('Details-Products'!$C$7:$C$799999,$B19,'Details-Products'!$BH$7:$BH$799999,BA$10)</f>
        <v>0</v>
      </c>
      <c r="BB19" s="105">
        <f>COUNTIFS('Details-Products'!$C$7:$C$799999,$B19,'Details-Products'!$BH$7:$BH$799999,BB$10,'Details-Products'!$W$7:$W$799999,"YES")</f>
        <v>0</v>
      </c>
      <c r="BC19" s="113">
        <f>SUMIFS('Details-Products'!$Z$7:$Z$799999,'Details-Products'!$C$7:$C$799999,$B19,'Details-Products'!$BH$7:$BH$799999,BC$10,'Details-Products'!$W$7:$W$799999,"YES")</f>
        <v>0</v>
      </c>
      <c r="BD19" s="110">
        <f>COUNTIFS('Details-Products'!$C$7:$C$799999,$B19,'Details-Products'!$BH$7:$BH$799999,BD$10)</f>
        <v>0</v>
      </c>
      <c r="BE19" s="105">
        <f>COUNTIFS('Details-Products'!$C$7:$C$799999,$B19,'Details-Products'!$BH$7:$BH$799999,BE$10,'Details-Products'!$W$7:$W$799999,"YES")</f>
        <v>0</v>
      </c>
      <c r="BF19" s="113">
        <f>SUMIFS('Details-Products'!$Z$7:$Z$799999,'Details-Products'!$C$7:$C$799999,$B19,'Details-Products'!$BH$7:$BH$799999,BF$10,'Details-Products'!$W$7:$W$799999,"YES")</f>
        <v>0</v>
      </c>
      <c r="BG19" s="104">
        <f t="shared" si="13"/>
        <v>0</v>
      </c>
      <c r="BH19" s="105">
        <f t="shared" si="14"/>
        <v>0</v>
      </c>
      <c r="BI19" s="112">
        <f t="shared" si="15"/>
        <v>0</v>
      </c>
    </row>
    <row r="20" spans="1:61" ht="16.5" thickBot="1" x14ac:dyDescent="0.3">
      <c r="A20" s="66"/>
      <c r="B20" s="67">
        <v>49</v>
      </c>
      <c r="C20" s="67"/>
      <c r="D20" s="68" t="s">
        <v>45</v>
      </c>
      <c r="E20" s="69">
        <f>COUNTIFS('Details-Products'!C11:C100002,B20,'Details-Products'!BH11:BH100002,E15)</f>
        <v>0</v>
      </c>
      <c r="F20" s="70">
        <f>COUNTIFS('Details-Products'!$C$7:$C$99997,$B20,'Details-Products'!$BH$7:$BH$99997,F$10,'Details-Products'!$W$7:$W$99997,"YES")</f>
        <v>0</v>
      </c>
      <c r="G20" s="71">
        <f>SUMIFS('Details-Products'!$Z$7:$Z$99997,'Details-Products'!$C$7:$C$99997,$B20,'Details-Products'!$BH$7:$BH$99997,G$10,'Details-Products'!$W$7:$W$99997,"YES")</f>
        <v>0</v>
      </c>
      <c r="H20" s="69">
        <f>COUNTIFS('Details-Products'!$C$7:$C$99997,$B20,'Details-Products'!$BH$7:$BH$99997,H$10)</f>
        <v>0</v>
      </c>
      <c r="I20" s="70">
        <f>COUNTIFS('Details-Products'!$C$7:$C$799999,$B20,'Details-Products'!$BH$7:$BH$799999,I$10,'Details-Products'!$W$7:$W$799999,"YES")</f>
        <v>0</v>
      </c>
      <c r="J20" s="71">
        <f>SUMIFS('Details-Products'!$Z$7:$Z$799999,'Details-Products'!$C$7:$C$799999,$B20,'Details-Products'!$BH$7:$BH$799999,J$10,'Details-Products'!$W$7:$W$799999,"YES")</f>
        <v>0</v>
      </c>
      <c r="K20" s="69">
        <f>COUNTIFS('Details-Products'!$C$7:$C$99997,$B20,'Details-Products'!$BH$7:$BH$99997,K$10)</f>
        <v>0</v>
      </c>
      <c r="L20" s="70">
        <f>COUNTIFS('Details-Products'!$C$7:$C$799999,$B20,'Details-Products'!$BH$7:$BH$799999,L$10,'Details-Products'!$W$7:$W$799999,"YES")</f>
        <v>0</v>
      </c>
      <c r="M20" s="72">
        <f>SUMIFS('Details-Products'!$Z$7:$Z$799999,'Details-Products'!$C$7:$C$799999,$B20,'Details-Products'!$BH$7:$BH$799999,M$10,'Details-Products'!$W$7:$W$799999,"YES")</f>
        <v>0</v>
      </c>
      <c r="N20" s="73">
        <f t="shared" si="0"/>
        <v>0</v>
      </c>
      <c r="O20" s="74">
        <f t="shared" si="1"/>
        <v>0</v>
      </c>
      <c r="P20" s="75">
        <f t="shared" si="2"/>
        <v>0</v>
      </c>
      <c r="Q20" s="74" t="e">
        <f>VLOOKUP($D20,Ttl_Inv!$A$4:$C$21,3,FALSE)</f>
        <v>#N/A</v>
      </c>
      <c r="R20" s="76" t="e">
        <f t="shared" si="3"/>
        <v>#N/A</v>
      </c>
      <c r="S20" s="77">
        <f>SUMIFS(UPCS!R:R,UPCS!B:B,B20)</f>
        <v>0</v>
      </c>
      <c r="T20" s="78" t="e">
        <f t="shared" si="4"/>
        <v>#N/A</v>
      </c>
      <c r="U20" s="77">
        <f t="shared" si="5"/>
        <v>0</v>
      </c>
      <c r="V20" s="78" t="e">
        <f t="shared" si="6"/>
        <v>#N/A</v>
      </c>
      <c r="W20" s="79">
        <f t="shared" si="7"/>
        <v>0</v>
      </c>
      <c r="X20" s="80">
        <f t="shared" si="8"/>
        <v>0</v>
      </c>
      <c r="Y20" s="81">
        <f t="shared" si="9"/>
        <v>0</v>
      </c>
      <c r="Z20" s="79">
        <f>COUNTIFS('Details-Products'!$C$7:$C$99997,$B20,'Details-Products'!$BH$7:$BH$99997,Z$10)</f>
        <v>0</v>
      </c>
      <c r="AA20" s="80">
        <f>COUNTIFS('Details-Products'!$C$7:$C$799999,$B20,'Details-Products'!$BH$7:$BH$799999,AA$10,'Details-Products'!$W$7:$W$799999,"YES")</f>
        <v>0</v>
      </c>
      <c r="AB20" s="82">
        <f>SUMIFS('Details-Products'!$Z$7:$Z$799999,'Details-Products'!$C$7:$C$799999,$B20,'Details-Products'!$BH$7:$BH$799999,AB$10,'Details-Products'!$W$7:$W$799999,"YES")</f>
        <v>0</v>
      </c>
      <c r="AC20" s="79">
        <f>COUNTIFS('Details-Products'!$C$7:$C$799999,$B20,'Details-Products'!$BH$7:$BH$799999,AC$10)</f>
        <v>0</v>
      </c>
      <c r="AD20" s="80">
        <f>COUNTIFS('Details-Products'!$C$7:$C$799999,$B20,'Details-Products'!$BH$7:$BH$799999,AD$10,'Details-Products'!$W$7:$W$799999,"YES")</f>
        <v>0</v>
      </c>
      <c r="AE20" s="84">
        <f>SUMIFS('Details-Products'!$Z$7:$Z$799999,'Details-Products'!$C$7:$C$799999,$B20,'Details-Products'!$BH$7:$BH$799999,AE$10,'Details-Products'!$W$7:$W$799999,"YES")</f>
        <v>0</v>
      </c>
      <c r="AF20" s="79">
        <f>COUNTIFS('Details-Products'!$C$7:$C$799999,$B20,'Details-Products'!$BH$7:$BH$799999,AF$10)</f>
        <v>0</v>
      </c>
      <c r="AG20" s="80">
        <f>COUNTIFS('Details-Products'!$C$7:$C$799999,$B20,'Details-Products'!$BH$7:$BH$799999,AG$10,'Details-Products'!$W$7:$W$799999,"YES")</f>
        <v>0</v>
      </c>
      <c r="AH20" s="83">
        <f>SUMIFS('Details-Products'!$Z$7:$Z$799999,'Details-Products'!$C$7:$C$799999,$B20,'Details-Products'!$BH$7:$BH$799999,AH$10,'Details-Products'!$W$7:$W$799999,"YES")</f>
        <v>0</v>
      </c>
      <c r="AI20" s="79">
        <f>COUNTIFS('Details-Products'!$C$7:$C$799999,$B20,'Details-Products'!$BH$7:$BH$799999,AI$10)</f>
        <v>0</v>
      </c>
      <c r="AJ20" s="80">
        <f>COUNTIFS('Details-Products'!$C$7:$C$799999,$B20,'Details-Products'!$BH$7:$BH$799999,AJ$10,'Details-Products'!$W$7:$W$799999,"YES")</f>
        <v>0</v>
      </c>
      <c r="AK20" s="83">
        <f>SUMIFS('Details-Products'!$Z$7:$Z$799999,'Details-Products'!$C$7:$C$799999,$B20,'Details-Products'!$BH$7:$BH$799999,AK$10,'Details-Products'!$W$7:$W$799999,"YES")</f>
        <v>0</v>
      </c>
      <c r="AL20" s="79">
        <f t="shared" si="10"/>
        <v>0</v>
      </c>
      <c r="AM20" s="80">
        <f t="shared" si="11"/>
        <v>0</v>
      </c>
      <c r="AN20" s="85">
        <f t="shared" si="12"/>
        <v>0</v>
      </c>
      <c r="AO20" s="79">
        <f>COUNTIFS('Details-Products'!$C$7:$C$799999,$B20,'Details-Products'!$BH$7:$BH$799999,AO$10)</f>
        <v>0</v>
      </c>
      <c r="AP20" s="80">
        <f>COUNTIFS('Details-Products'!$C$7:$C$799999,$B20,'Details-Products'!$BH$7:$BH$799999,AP$10,'Details-Products'!$W$7:$W$799999,"YES")</f>
        <v>0</v>
      </c>
      <c r="AQ20" s="87">
        <f>SUMIFS('Details-Products'!$Z$7:$Z$799999,'Details-Products'!$C$7:$C$799999,$B20,'Details-Products'!$BH$7:$BH$799999,AQ$10,'Details-Products'!$W$7:$W$799999,"YES")</f>
        <v>0</v>
      </c>
      <c r="AR20" s="79">
        <f>COUNTIFS('Details-Products'!$C$7:$C$799999,$B20,'Details-Products'!$BH$7:$BH$799999,AR$10)</f>
        <v>0</v>
      </c>
      <c r="AS20" s="80">
        <f>COUNTIFS('Details-Products'!$C$7:$C$799999,$B20,'Details-Products'!$BH$7:$BH$799999,AS$10,'Details-Products'!$W$7:$W$799999,"YES")</f>
        <v>0</v>
      </c>
      <c r="AT20" s="87">
        <f>SUMIFS('Details-Products'!$Z$7:$Z$799999,'Details-Products'!$C$7:$C$799999,$B20,'Details-Products'!$BH$7:$BH$799999,AT$10,'Details-Products'!$W$7:$W$799999,"YES")</f>
        <v>0</v>
      </c>
      <c r="AU20" s="79">
        <f>COUNTIFS('Details-Products'!$C$7:$C$799999,$B20,'Details-Products'!$BH$7:$BH$799999,AU$10)</f>
        <v>0</v>
      </c>
      <c r="AV20" s="80">
        <f>COUNTIFS('Details-Products'!$C$7:$C$799999,$B20,'Details-Products'!$BH$7:$BH$799999,AV$10,'Details-Products'!$W$7:$W$799999,"YES")</f>
        <v>0</v>
      </c>
      <c r="AW20" s="85">
        <f>SUMIFS('Details-Products'!$Z$7:$Z$799999,'Details-Products'!$C$7:$C$799999,$B20,'Details-Products'!$BH$7:$BH$799999,AW$10,'Details-Products'!$W$7:$W$799999,"YES")</f>
        <v>0</v>
      </c>
      <c r="AX20" s="86">
        <f>COUNTIFS('Details-Products'!$C$7:$C$799999,$B20,'Details-Products'!$BH$7:$BH$799999,AX$10)</f>
        <v>0</v>
      </c>
      <c r="AY20" s="80">
        <f>COUNTIFS('Details-Products'!$C$7:$C$799999,$B20,'Details-Products'!$BH$7:$BH$799999,AY$10,'Details-Products'!$W$7:$W$799999,"YES")</f>
        <v>0</v>
      </c>
      <c r="AZ20" s="88">
        <f>SUMIFS('Details-Products'!$Z$7:$Z$799999,'Details-Products'!$C$7:$C$799999,$B20,'Details-Products'!$BH$7:$BH$799999,AZ$10,'Details-Products'!$W$7:$W$799999,"YES")</f>
        <v>0</v>
      </c>
      <c r="BA20" s="79">
        <f>COUNTIFS('Details-Products'!$C$7:$C$799999,$B20,'Details-Products'!$BH$7:$BH$799999,BA$10)</f>
        <v>0</v>
      </c>
      <c r="BB20" s="80">
        <f>COUNTIFS('Details-Products'!$C$7:$C$799999,$B20,'Details-Products'!$BH$7:$BH$799999,BB$10,'Details-Products'!$W$7:$W$799999,"YES")</f>
        <v>0</v>
      </c>
      <c r="BC20" s="89">
        <f>SUMIFS('Details-Products'!$Z$7:$Z$799999,'Details-Products'!$C$7:$C$799999,$B20,'Details-Products'!$BH$7:$BH$799999,BC$10,'Details-Products'!$W$7:$W$799999,"YES")</f>
        <v>0</v>
      </c>
      <c r="BD20" s="86">
        <f>COUNTIFS('Details-Products'!$C$7:$C$799999,$B20,'Details-Products'!$BH$7:$BH$799999,BD$10)</f>
        <v>0</v>
      </c>
      <c r="BE20" s="80">
        <f>COUNTIFS('Details-Products'!$C$7:$C$799999,$B20,'Details-Products'!$BH$7:$BH$799999,BE$10,'Details-Products'!$W$7:$W$799999,"YES")</f>
        <v>0</v>
      </c>
      <c r="BF20" s="89">
        <f>SUMIFS('Details-Products'!$Z$7:$Z$799999,'Details-Products'!$C$7:$C$799999,$B20,'Details-Products'!$BH$7:$BH$799999,BF$10,'Details-Products'!$W$7:$W$799999,"YES")</f>
        <v>0</v>
      </c>
      <c r="BG20" s="79">
        <f t="shared" si="13"/>
        <v>0</v>
      </c>
      <c r="BH20" s="80">
        <f t="shared" si="14"/>
        <v>0</v>
      </c>
      <c r="BI20" s="88">
        <f t="shared" si="15"/>
        <v>0</v>
      </c>
    </row>
    <row r="21" spans="1:61" ht="16.5" thickBot="1" x14ac:dyDescent="0.3">
      <c r="A21" s="90"/>
      <c r="B21" s="91">
        <v>79</v>
      </c>
      <c r="C21" s="91"/>
      <c r="D21" s="92" t="s">
        <v>46</v>
      </c>
      <c r="E21" s="93">
        <f>COUNTIFS('Details-Products'!C12:C100003,B21,'Details-Products'!BH12:BH100003,E16)</f>
        <v>0</v>
      </c>
      <c r="F21" s="94">
        <f>COUNTIFS('Details-Products'!$C$7:$C$99997,$B21,'Details-Products'!$BH$7:$BH$99997,F$10,'Details-Products'!$W$7:$W$99997,"YES")</f>
        <v>0</v>
      </c>
      <c r="G21" s="95">
        <f>SUMIFS('Details-Products'!$Z$7:$Z$99997,'Details-Products'!$C$7:$C$99997,$B21,'Details-Products'!$BH$7:$BH$99997,G$10,'Details-Products'!$W$7:$W$99997,"YES")</f>
        <v>0</v>
      </c>
      <c r="H21" s="93">
        <f>COUNTIFS('Details-Products'!$C$7:$C$99997,$B21,'Details-Products'!$BH$7:$BH$99997,H$10)</f>
        <v>0</v>
      </c>
      <c r="I21" s="94">
        <f>COUNTIFS('Details-Products'!$C$7:$C$799999,$B21,'Details-Products'!$BH$7:$BH$799999,I$10,'Details-Products'!$W$7:$W$799999,"YES")</f>
        <v>0</v>
      </c>
      <c r="J21" s="96">
        <f>SUMIFS('Details-Products'!$Z$7:$Z$799999,'Details-Products'!$C$7:$C$799999,$B21,'Details-Products'!$BH$7:$BH$799999,J$10,'Details-Products'!$W$7:$W$799999,"YES")</f>
        <v>0</v>
      </c>
      <c r="K21" s="93">
        <f>COUNTIFS('Details-Products'!$C$7:$C$99997,$B21,'Details-Products'!$BH$7:$BH$99997,K$10)</f>
        <v>0</v>
      </c>
      <c r="L21" s="94">
        <f>COUNTIFS('Details-Products'!$C$7:$C$799999,$B21,'Details-Products'!$BH$7:$BH$799999,L$10,'Details-Products'!$W$7:$W$799999,"YES")</f>
        <v>0</v>
      </c>
      <c r="M21" s="97">
        <f>SUMIFS('Details-Products'!$Z$7:$Z$799999,'Details-Products'!$C$7:$C$799999,$B21,'Details-Products'!$BH$7:$BH$799999,M$10,'Details-Products'!$W$7:$W$799999,"YES")</f>
        <v>0</v>
      </c>
      <c r="N21" s="98">
        <f t="shared" si="0"/>
        <v>0</v>
      </c>
      <c r="O21" s="99">
        <f t="shared" si="1"/>
        <v>0</v>
      </c>
      <c r="P21" s="100">
        <f t="shared" si="2"/>
        <v>0</v>
      </c>
      <c r="Q21" s="99" t="e">
        <f>VLOOKUP($D21,Ttl_Inv!$A$4:$C$21,3,FALSE)</f>
        <v>#N/A</v>
      </c>
      <c r="R21" s="101" t="e">
        <f t="shared" si="3"/>
        <v>#N/A</v>
      </c>
      <c r="S21" s="102">
        <f>SUMIFS(UPCS!R:R,UPCS!B:B,B21)</f>
        <v>0</v>
      </c>
      <c r="T21" s="103" t="e">
        <f t="shared" si="4"/>
        <v>#N/A</v>
      </c>
      <c r="U21" s="115">
        <f t="shared" si="5"/>
        <v>0</v>
      </c>
      <c r="V21" s="116" t="e">
        <f t="shared" si="6"/>
        <v>#N/A</v>
      </c>
      <c r="W21" s="104">
        <f t="shared" si="7"/>
        <v>0</v>
      </c>
      <c r="X21" s="105">
        <f t="shared" si="8"/>
        <v>0</v>
      </c>
      <c r="Y21" s="106">
        <f t="shared" si="9"/>
        <v>0</v>
      </c>
      <c r="Z21" s="104">
        <f>COUNTIFS('Details-Products'!$C$7:$C$99997,$B21,'Details-Products'!$BH$7:$BH$99997,Z$10)</f>
        <v>0</v>
      </c>
      <c r="AA21" s="105">
        <f>COUNTIFS('Details-Products'!$C$7:$C$799999,$B21,'Details-Products'!$BH$7:$BH$799999,AA$10,'Details-Products'!$W$7:$W$799999,"YES")</f>
        <v>0</v>
      </c>
      <c r="AB21" s="107">
        <f>SUMIFS('Details-Products'!$Z$7:$Z$799999,'Details-Products'!$C$7:$C$799999,$B21,'Details-Products'!$BH$7:$BH$799999,AB$10,'Details-Products'!$W$7:$W$799999,"YES")</f>
        <v>0</v>
      </c>
      <c r="AC21" s="104">
        <f>COUNTIFS('Details-Products'!$C$7:$C$799999,$B21,'Details-Products'!$BH$7:$BH$799999,AC$10)</f>
        <v>0</v>
      </c>
      <c r="AD21" s="105">
        <f>COUNTIFS('Details-Products'!$C$7:$C$799999,$B21,'Details-Products'!$BH$7:$BH$799999,AD$10,'Details-Products'!$W$7:$W$799999,"YES")</f>
        <v>0</v>
      </c>
      <c r="AE21" s="108">
        <f>SUMIFS('Details-Products'!$Z$7:$Z$799999,'Details-Products'!$C$7:$C$799999,$B21,'Details-Products'!$BH$7:$BH$799999,AE$10,'Details-Products'!$W$7:$W$799999,"YES")</f>
        <v>0</v>
      </c>
      <c r="AF21" s="104">
        <f>COUNTIFS('Details-Products'!$C$7:$C$799999,$B21,'Details-Products'!$BH$7:$BH$799999,AF$10)</f>
        <v>0</v>
      </c>
      <c r="AG21" s="105">
        <f>COUNTIFS('Details-Products'!$C$7:$C$799999,$B21,'Details-Products'!$BH$7:$BH$799999,AG$10,'Details-Products'!$W$7:$W$799999,"YES")</f>
        <v>0</v>
      </c>
      <c r="AH21" s="108">
        <f>SUMIFS('Details-Products'!$Z$7:$Z$799999,'Details-Products'!$C$7:$C$799999,$B21,'Details-Products'!$BH$7:$BH$799999,AH$10,'Details-Products'!$W$7:$W$799999,"YES")</f>
        <v>0</v>
      </c>
      <c r="AI21" s="104">
        <f>COUNTIFS('Details-Products'!$C$7:$C$799999,$B21,'Details-Products'!$BH$7:$BH$799999,AI$10)</f>
        <v>0</v>
      </c>
      <c r="AJ21" s="105">
        <f>COUNTIFS('Details-Products'!$C$7:$C$799999,$B21,'Details-Products'!$BH$7:$BH$799999,AJ$10,'Details-Products'!$W$7:$W$799999,"YES")</f>
        <v>0</v>
      </c>
      <c r="AK21" s="108">
        <f>SUMIFS('Details-Products'!$Z$7:$Z$799999,'Details-Products'!$C$7:$C$799999,$B21,'Details-Products'!$BH$7:$BH$799999,AK$10,'Details-Products'!$W$7:$W$799999,"YES")</f>
        <v>0</v>
      </c>
      <c r="AL21" s="104">
        <f t="shared" si="10"/>
        <v>0</v>
      </c>
      <c r="AM21" s="105">
        <f t="shared" si="11"/>
        <v>0</v>
      </c>
      <c r="AN21" s="109">
        <f t="shared" si="12"/>
        <v>0</v>
      </c>
      <c r="AO21" s="104">
        <f>COUNTIFS('Details-Products'!$C$7:$C$799999,$B21,'Details-Products'!$BH$7:$BH$799999,AO$10)</f>
        <v>0</v>
      </c>
      <c r="AP21" s="105">
        <f>COUNTIFS('Details-Products'!$C$7:$C$799999,$B21,'Details-Products'!$BH$7:$BH$799999,AP$10,'Details-Products'!$W$7:$W$799999,"YES")</f>
        <v>0</v>
      </c>
      <c r="AQ21" s="111">
        <f>SUMIFS('Details-Products'!$Z$7:$Z$799999,'Details-Products'!$C$7:$C$799999,$B21,'Details-Products'!$BH$7:$BH$799999,AQ$10,'Details-Products'!$W$7:$W$799999,"YES")</f>
        <v>0</v>
      </c>
      <c r="AR21" s="104">
        <f>COUNTIFS('Details-Products'!$C$7:$C$799999,$B21,'Details-Products'!$BH$7:$BH$799999,AR$10)</f>
        <v>0</v>
      </c>
      <c r="AS21" s="105">
        <f>COUNTIFS('Details-Products'!$C$7:$C$799999,$B21,'Details-Products'!$BH$7:$BH$799999,AS$10,'Details-Products'!$W$7:$W$799999,"YES")</f>
        <v>0</v>
      </c>
      <c r="AT21" s="111">
        <f>SUMIFS('Details-Products'!$Z$7:$Z$799999,'Details-Products'!$C$7:$C$799999,$B21,'Details-Products'!$BH$7:$BH$799999,AT$10,'Details-Products'!$W$7:$W$799999,"YES")</f>
        <v>0</v>
      </c>
      <c r="AU21" s="104">
        <f>COUNTIFS('Details-Products'!$C$7:$C$799999,$B21,'Details-Products'!$BH$7:$BH$799999,AU$10)</f>
        <v>0</v>
      </c>
      <c r="AV21" s="105">
        <f>COUNTIFS('Details-Products'!$C$7:$C$799999,$B21,'Details-Products'!$BH$7:$BH$799999,AV$10,'Details-Products'!$W$7:$W$799999,"YES")</f>
        <v>0</v>
      </c>
      <c r="AW21" s="109">
        <f>SUMIFS('Details-Products'!$Z$7:$Z$799999,'Details-Products'!$C$7:$C$799999,$B21,'Details-Products'!$BH$7:$BH$799999,AW$10,'Details-Products'!$W$7:$W$799999,"YES")</f>
        <v>0</v>
      </c>
      <c r="AX21" s="110">
        <f>COUNTIFS('Details-Products'!$C$7:$C$799999,$B21,'Details-Products'!$BH$7:$BH$799999,AX$10)</f>
        <v>0</v>
      </c>
      <c r="AY21" s="105">
        <f>COUNTIFS('Details-Products'!$C$7:$C$799999,$B21,'Details-Products'!$BH$7:$BH$799999,AY$10,'Details-Products'!$W$7:$W$799999,"YES")</f>
        <v>0</v>
      </c>
      <c r="AZ21" s="112">
        <f>SUMIFS('Details-Products'!$Z$7:$Z$799999,'Details-Products'!$C$7:$C$799999,$B21,'Details-Products'!$BH$7:$BH$799999,AZ$10,'Details-Products'!$W$7:$W$799999,"YES")</f>
        <v>0</v>
      </c>
      <c r="BA21" s="104">
        <f>COUNTIFS('Details-Products'!$C$7:$C$799999,$B21,'Details-Products'!$BH$7:$BH$799999,BA$10)</f>
        <v>0</v>
      </c>
      <c r="BB21" s="105">
        <f>COUNTIFS('Details-Products'!$C$7:$C$799999,$B21,'Details-Products'!$BH$7:$BH$799999,BB$10,'Details-Products'!$W$7:$W$799999,"YES")</f>
        <v>0</v>
      </c>
      <c r="BC21" s="113">
        <f>SUMIFS('Details-Products'!$Z$7:$Z$799999,'Details-Products'!$C$7:$C$799999,$B21,'Details-Products'!$BH$7:$BH$799999,BC$10,'Details-Products'!$W$7:$W$799999,"YES")</f>
        <v>0</v>
      </c>
      <c r="BD21" s="110">
        <f>COUNTIFS('Details-Products'!$C$7:$C$799999,$B21,'Details-Products'!$BH$7:$BH$799999,BD$10)</f>
        <v>0</v>
      </c>
      <c r="BE21" s="105">
        <f>COUNTIFS('Details-Products'!$C$7:$C$799999,$B21,'Details-Products'!$BH$7:$BH$799999,BE$10,'Details-Products'!$W$7:$W$799999,"YES")</f>
        <v>0</v>
      </c>
      <c r="BF21" s="113">
        <f>SUMIFS('Details-Products'!$Z$7:$Z$799999,'Details-Products'!$C$7:$C$799999,$B21,'Details-Products'!$BH$7:$BH$799999,BF$10,'Details-Products'!$W$7:$W$799999,"YES")</f>
        <v>0</v>
      </c>
      <c r="BG21" s="104">
        <f t="shared" si="13"/>
        <v>0</v>
      </c>
      <c r="BH21" s="105">
        <f t="shared" si="14"/>
        <v>0</v>
      </c>
      <c r="BI21" s="112">
        <f t="shared" si="15"/>
        <v>0</v>
      </c>
    </row>
    <row r="22" spans="1:61" ht="16.5" thickBot="1" x14ac:dyDescent="0.3">
      <c r="A22" s="66"/>
      <c r="B22" s="67">
        <v>45</v>
      </c>
      <c r="C22" s="67"/>
      <c r="D22" s="68" t="s">
        <v>47</v>
      </c>
      <c r="E22" s="69">
        <f>COUNTIFS('Details-Products'!C13:C100004,B22,'Details-Products'!BH13:BH100004,E17)</f>
        <v>0</v>
      </c>
      <c r="F22" s="70">
        <f>COUNTIFS('Details-Products'!$C$7:$C$99997,$B22,'Details-Products'!$BH$7:$BH$99997,F$10,'Details-Products'!$W$7:$W$99997,"YES")</f>
        <v>0</v>
      </c>
      <c r="G22" s="71">
        <f>SUMIFS('Details-Products'!$Z$7:$Z$99997,'Details-Products'!$C$7:$C$99997,$B22,'Details-Products'!$BH$7:$BH$99997,G$10,'Details-Products'!$W$7:$W$99997,"YES")</f>
        <v>0</v>
      </c>
      <c r="H22" s="69">
        <f>COUNTIFS('Details-Products'!$C$7:$C$99997,$B22,'Details-Products'!$BH$7:$BH$99997,H$10)</f>
        <v>0</v>
      </c>
      <c r="I22" s="70">
        <f>COUNTIFS('Details-Products'!$C$7:$C$799999,$B22,'Details-Products'!$BH$7:$BH$799999,I$10,'Details-Products'!$W$7:$W$799999,"YES")</f>
        <v>0</v>
      </c>
      <c r="J22" s="71">
        <f>SUMIFS('Details-Products'!$Z$7:$Z$799999,'Details-Products'!$C$7:$C$799999,$B22,'Details-Products'!$BH$7:$BH$799999,J$10,'Details-Products'!$W$7:$W$799999,"YES")</f>
        <v>0</v>
      </c>
      <c r="K22" s="69">
        <f>COUNTIFS('Details-Products'!$C$7:$C$99997,$B22,'Details-Products'!$BH$7:$BH$99997,K$10)</f>
        <v>0</v>
      </c>
      <c r="L22" s="70">
        <f>COUNTIFS('Details-Products'!$C$7:$C$799999,$B22,'Details-Products'!$BH$7:$BH$799999,L$10,'Details-Products'!$W$7:$W$799999,"YES")</f>
        <v>0</v>
      </c>
      <c r="M22" s="72">
        <f>SUMIFS('Details-Products'!$Z$7:$Z$799999,'Details-Products'!$C$7:$C$799999,$B22,'Details-Products'!$BH$7:$BH$799999,M$10,'Details-Products'!$W$7:$W$799999,"YES")</f>
        <v>0</v>
      </c>
      <c r="N22" s="73">
        <f t="shared" si="0"/>
        <v>0</v>
      </c>
      <c r="O22" s="74">
        <f t="shared" si="1"/>
        <v>0</v>
      </c>
      <c r="P22" s="75">
        <f t="shared" si="2"/>
        <v>0</v>
      </c>
      <c r="Q22" s="74" t="e">
        <f>VLOOKUP($D22,Ttl_Inv!$A$4:$C$21,3,FALSE)</f>
        <v>#N/A</v>
      </c>
      <c r="R22" s="76" t="e">
        <f t="shared" si="3"/>
        <v>#N/A</v>
      </c>
      <c r="S22" s="77">
        <f>SUMIFS(UPCS!R:R,UPCS!B:B,B22)</f>
        <v>0</v>
      </c>
      <c r="T22" s="78" t="e">
        <f t="shared" si="4"/>
        <v>#N/A</v>
      </c>
      <c r="U22" s="77">
        <f t="shared" si="5"/>
        <v>0</v>
      </c>
      <c r="V22" s="78" t="e">
        <f t="shared" si="6"/>
        <v>#N/A</v>
      </c>
      <c r="W22" s="79">
        <f t="shared" si="7"/>
        <v>0</v>
      </c>
      <c r="X22" s="80">
        <f t="shared" si="8"/>
        <v>0</v>
      </c>
      <c r="Y22" s="81">
        <f t="shared" si="9"/>
        <v>0</v>
      </c>
      <c r="Z22" s="79">
        <f>COUNTIFS('Details-Products'!$C$7:$C$99997,$B22,'Details-Products'!$BH$7:$BH$99997,Z$10)</f>
        <v>0</v>
      </c>
      <c r="AA22" s="80">
        <f>COUNTIFS('Details-Products'!$C$7:$C$799999,$B22,'Details-Products'!$BH$7:$BH$799999,AA$10,'Details-Products'!$W$7:$W$799999,"YES")</f>
        <v>0</v>
      </c>
      <c r="AB22" s="82">
        <f>SUMIFS('Details-Products'!$Z$7:$Z$799999,'Details-Products'!$C$7:$C$799999,$B22,'Details-Products'!$BH$7:$BH$799999,AB$10,'Details-Products'!$W$7:$W$799999,"YES")</f>
        <v>0</v>
      </c>
      <c r="AC22" s="79">
        <f>COUNTIFS('Details-Products'!$C$7:$C$799999,$B22,'Details-Products'!$BH$7:$BH$799999,AC$10)</f>
        <v>0</v>
      </c>
      <c r="AD22" s="80">
        <f>COUNTIFS('Details-Products'!$C$7:$C$799999,$B22,'Details-Products'!$BH$7:$BH$799999,AD$10,'Details-Products'!$W$7:$W$799999,"YES")</f>
        <v>0</v>
      </c>
      <c r="AE22" s="84">
        <f>SUMIFS('Details-Products'!$Z$7:$Z$799999,'Details-Products'!$C$7:$C$799999,$B22,'Details-Products'!$BH$7:$BH$799999,AE$10,'Details-Products'!$W$7:$W$799999,"YES")</f>
        <v>0</v>
      </c>
      <c r="AF22" s="79">
        <f>COUNTIFS('Details-Products'!$C$7:$C$799999,$B22,'Details-Products'!$BH$7:$BH$799999,AF$10)</f>
        <v>0</v>
      </c>
      <c r="AG22" s="80">
        <f>COUNTIFS('Details-Products'!$C$7:$C$799999,$B22,'Details-Products'!$BH$7:$BH$799999,AG$10,'Details-Products'!$W$7:$W$799999,"YES")</f>
        <v>0</v>
      </c>
      <c r="AH22" s="83">
        <f>SUMIFS('Details-Products'!$Z$7:$Z$799999,'Details-Products'!$C$7:$C$799999,$B22,'Details-Products'!$BH$7:$BH$799999,AH$10,'Details-Products'!$W$7:$W$799999,"YES")</f>
        <v>0</v>
      </c>
      <c r="AI22" s="79">
        <f>COUNTIFS('Details-Products'!$C$7:$C$799999,$B22,'Details-Products'!$BH$7:$BH$799999,AI$10)</f>
        <v>0</v>
      </c>
      <c r="AJ22" s="80">
        <f>COUNTIFS('Details-Products'!$C$7:$C$799999,$B22,'Details-Products'!$BH$7:$BH$799999,AJ$10,'Details-Products'!$W$7:$W$799999,"YES")</f>
        <v>0</v>
      </c>
      <c r="AK22" s="83">
        <f>SUMIFS('Details-Products'!$Z$7:$Z$799999,'Details-Products'!$C$7:$C$799999,$B22,'Details-Products'!$BH$7:$BH$799999,AK$10,'Details-Products'!$W$7:$W$799999,"YES")</f>
        <v>0</v>
      </c>
      <c r="AL22" s="79">
        <f t="shared" si="10"/>
        <v>0</v>
      </c>
      <c r="AM22" s="80">
        <f t="shared" si="11"/>
        <v>0</v>
      </c>
      <c r="AN22" s="85">
        <f t="shared" si="12"/>
        <v>0</v>
      </c>
      <c r="AO22" s="79">
        <f>COUNTIFS('Details-Products'!$C$7:$C$799999,$B22,'Details-Products'!$BH$7:$BH$799999,AO$10)</f>
        <v>0</v>
      </c>
      <c r="AP22" s="80">
        <f>COUNTIFS('Details-Products'!$C$7:$C$799999,$B22,'Details-Products'!$BH$7:$BH$799999,AP$10,'Details-Products'!$W$7:$W$799999,"YES")</f>
        <v>0</v>
      </c>
      <c r="AQ22" s="87">
        <f>SUMIFS('Details-Products'!$Z$7:$Z$799999,'Details-Products'!$C$7:$C$799999,$B22,'Details-Products'!$BH$7:$BH$799999,AQ$10,'Details-Products'!$W$7:$W$799999,"YES")</f>
        <v>0</v>
      </c>
      <c r="AR22" s="79">
        <f>COUNTIFS('Details-Products'!$C$7:$C$799999,$B22,'Details-Products'!$BH$7:$BH$799999,AR$10)</f>
        <v>0</v>
      </c>
      <c r="AS22" s="80">
        <f>COUNTIFS('Details-Products'!$C$7:$C$799999,$B22,'Details-Products'!$BH$7:$BH$799999,AS$10,'Details-Products'!$W$7:$W$799999,"YES")</f>
        <v>0</v>
      </c>
      <c r="AT22" s="87">
        <f>SUMIFS('Details-Products'!$Z$7:$Z$799999,'Details-Products'!$C$7:$C$799999,$B22,'Details-Products'!$BH$7:$BH$799999,AT$10,'Details-Products'!$W$7:$W$799999,"YES")</f>
        <v>0</v>
      </c>
      <c r="AU22" s="79">
        <f>COUNTIFS('Details-Products'!$C$7:$C$799999,$B22,'Details-Products'!$BH$7:$BH$799999,AU$10)</f>
        <v>0</v>
      </c>
      <c r="AV22" s="80">
        <f>COUNTIFS('Details-Products'!$C$7:$C$799999,$B22,'Details-Products'!$BH$7:$BH$799999,AV$10,'Details-Products'!$W$7:$W$799999,"YES")</f>
        <v>0</v>
      </c>
      <c r="AW22" s="85">
        <f>SUMIFS('Details-Products'!$Z$7:$Z$799999,'Details-Products'!$C$7:$C$799999,$B22,'Details-Products'!$BH$7:$BH$799999,AW$10,'Details-Products'!$W$7:$W$799999,"YES")</f>
        <v>0</v>
      </c>
      <c r="AX22" s="86">
        <f>COUNTIFS('Details-Products'!$C$7:$C$799999,$B22,'Details-Products'!$BH$7:$BH$799999,AX$10)</f>
        <v>0</v>
      </c>
      <c r="AY22" s="80">
        <f>COUNTIFS('Details-Products'!$C$7:$C$799999,$B22,'Details-Products'!$BH$7:$BH$799999,AY$10,'Details-Products'!$W$7:$W$799999,"YES")</f>
        <v>0</v>
      </c>
      <c r="AZ22" s="88">
        <f>SUMIFS('Details-Products'!$Z$7:$Z$799999,'Details-Products'!$C$7:$C$799999,$B22,'Details-Products'!$BH$7:$BH$799999,AZ$10,'Details-Products'!$W$7:$W$799999,"YES")</f>
        <v>0</v>
      </c>
      <c r="BA22" s="79">
        <f>COUNTIFS('Details-Products'!$C$7:$C$799999,$B22,'Details-Products'!$BH$7:$BH$799999,BA$10)</f>
        <v>0</v>
      </c>
      <c r="BB22" s="80">
        <f>COUNTIFS('Details-Products'!$C$7:$C$799999,$B22,'Details-Products'!$BH$7:$BH$799999,BB$10,'Details-Products'!$W$7:$W$799999,"YES")</f>
        <v>0</v>
      </c>
      <c r="BC22" s="89">
        <f>SUMIFS('Details-Products'!$Z$7:$Z$799999,'Details-Products'!$C$7:$C$799999,$B22,'Details-Products'!$BH$7:$BH$799999,BC$10,'Details-Products'!$W$7:$W$799999,"YES")</f>
        <v>0</v>
      </c>
      <c r="BD22" s="86">
        <f>COUNTIFS('Details-Products'!$C$7:$C$799999,$B22,'Details-Products'!$BH$7:$BH$799999,BD$10)</f>
        <v>0</v>
      </c>
      <c r="BE22" s="80">
        <f>COUNTIFS('Details-Products'!$C$7:$C$799999,$B22,'Details-Products'!$BH$7:$BH$799999,BE$10,'Details-Products'!$W$7:$W$799999,"YES")</f>
        <v>0</v>
      </c>
      <c r="BF22" s="89">
        <f>SUMIFS('Details-Products'!$Z$7:$Z$799999,'Details-Products'!$C$7:$C$799999,$B22,'Details-Products'!$BH$7:$BH$799999,BF$10,'Details-Products'!$W$7:$W$799999,"YES")</f>
        <v>0</v>
      </c>
      <c r="BG22" s="79">
        <f t="shared" si="13"/>
        <v>0</v>
      </c>
      <c r="BH22" s="80">
        <f t="shared" si="14"/>
        <v>0</v>
      </c>
      <c r="BI22" s="88">
        <f t="shared" si="15"/>
        <v>0</v>
      </c>
    </row>
    <row r="23" spans="1:61" ht="16.5" thickBot="1" x14ac:dyDescent="0.3">
      <c r="A23" s="90"/>
      <c r="B23" s="91">
        <v>75</v>
      </c>
      <c r="C23" s="91"/>
      <c r="D23" s="92" t="s">
        <v>48</v>
      </c>
      <c r="E23" s="93">
        <f>COUNTIFS('Details-Products'!C14:C100005,B23,'Details-Products'!BH14:BH100005,E18)</f>
        <v>0</v>
      </c>
      <c r="F23" s="94">
        <f>COUNTIFS('Details-Products'!$C$7:$C$99997,$B23,'Details-Products'!$BH$7:$BH$99997,F$10,'Details-Products'!$W$7:$W$99997,"YES")</f>
        <v>0</v>
      </c>
      <c r="G23" s="95">
        <f>SUMIFS('Details-Products'!$Z$7:$Z$99997,'Details-Products'!$C$7:$C$99997,$B23,'Details-Products'!$BH$7:$BH$99997,G$10,'Details-Products'!$W$7:$W$99997,"YES")</f>
        <v>0</v>
      </c>
      <c r="H23" s="93">
        <f>COUNTIFS('Details-Products'!$C$7:$C$99997,$B23,'Details-Products'!$BH$7:$BH$99997,H$10)</f>
        <v>0</v>
      </c>
      <c r="I23" s="94">
        <f>COUNTIFS('Details-Products'!$C$7:$C$799999,$B23,'Details-Products'!$BH$7:$BH$799999,I$10,'Details-Products'!$W$7:$W$799999,"YES")</f>
        <v>0</v>
      </c>
      <c r="J23" s="96">
        <f>SUMIFS('Details-Products'!$Z$7:$Z$799999,'Details-Products'!$C$7:$C$799999,$B23,'Details-Products'!$BH$7:$BH$799999,J$10,'Details-Products'!$W$7:$W$799999,"YES")</f>
        <v>0</v>
      </c>
      <c r="K23" s="93">
        <f>COUNTIFS('Details-Products'!$C$7:$C$99997,$B23,'Details-Products'!$BH$7:$BH$99997,K$10)</f>
        <v>0</v>
      </c>
      <c r="L23" s="94">
        <f>COUNTIFS('Details-Products'!$C$7:$C$799999,$B23,'Details-Products'!$BH$7:$BH$799999,L$10,'Details-Products'!$W$7:$W$799999,"YES")</f>
        <v>0</v>
      </c>
      <c r="M23" s="97">
        <f>SUMIFS('Details-Products'!$Z$7:$Z$799999,'Details-Products'!$C$7:$C$799999,$B23,'Details-Products'!$BH$7:$BH$799999,M$10,'Details-Products'!$W$7:$W$799999,"YES")</f>
        <v>0</v>
      </c>
      <c r="N23" s="98">
        <f t="shared" si="0"/>
        <v>0</v>
      </c>
      <c r="O23" s="99">
        <f t="shared" si="1"/>
        <v>0</v>
      </c>
      <c r="P23" s="100">
        <f t="shared" si="2"/>
        <v>0</v>
      </c>
      <c r="Q23" s="99" t="e">
        <f>VLOOKUP($D23,Ttl_Inv!$A$4:$C$21,3,FALSE)</f>
        <v>#N/A</v>
      </c>
      <c r="R23" s="101" t="e">
        <f t="shared" si="3"/>
        <v>#N/A</v>
      </c>
      <c r="S23" s="102">
        <f>SUMIFS(UPCS!R:R,UPCS!B:B,B23)</f>
        <v>0</v>
      </c>
      <c r="T23" s="103" t="e">
        <f t="shared" si="4"/>
        <v>#N/A</v>
      </c>
      <c r="U23" s="115">
        <f t="shared" si="5"/>
        <v>0</v>
      </c>
      <c r="V23" s="116" t="e">
        <f t="shared" si="6"/>
        <v>#N/A</v>
      </c>
      <c r="W23" s="104">
        <f t="shared" si="7"/>
        <v>0</v>
      </c>
      <c r="X23" s="105">
        <f t="shared" si="8"/>
        <v>0</v>
      </c>
      <c r="Y23" s="106">
        <f t="shared" si="9"/>
        <v>0</v>
      </c>
      <c r="Z23" s="104">
        <f>COUNTIFS('Details-Products'!$C$7:$C$99997,$B23,'Details-Products'!$BH$7:$BH$99997,Z$10)</f>
        <v>0</v>
      </c>
      <c r="AA23" s="105">
        <f>COUNTIFS('Details-Products'!$C$7:$C$799999,$B23,'Details-Products'!$BH$7:$BH$799999,AA$10,'Details-Products'!$W$7:$W$799999,"YES")</f>
        <v>0</v>
      </c>
      <c r="AB23" s="107">
        <f>SUMIFS('Details-Products'!$Z$7:$Z$799999,'Details-Products'!$C$7:$C$799999,$B23,'Details-Products'!$BH$7:$BH$799999,AB$10,'Details-Products'!$W$7:$W$799999,"YES")</f>
        <v>0</v>
      </c>
      <c r="AC23" s="104">
        <f>COUNTIFS('Details-Products'!$C$7:$C$799999,$B23,'Details-Products'!$BH$7:$BH$799999,AC$10)</f>
        <v>0</v>
      </c>
      <c r="AD23" s="105">
        <f>COUNTIFS('Details-Products'!$C$7:$C$799999,$B23,'Details-Products'!$BH$7:$BH$799999,AD$10,'Details-Products'!$W$7:$W$799999,"YES")</f>
        <v>0</v>
      </c>
      <c r="AE23" s="108">
        <f>SUMIFS('Details-Products'!$Z$7:$Z$799999,'Details-Products'!$C$7:$C$799999,$B23,'Details-Products'!$BH$7:$BH$799999,AE$10,'Details-Products'!$W$7:$W$799999,"YES")</f>
        <v>0</v>
      </c>
      <c r="AF23" s="104">
        <f>COUNTIFS('Details-Products'!$C$7:$C$799999,$B23,'Details-Products'!$BH$7:$BH$799999,AF$10)</f>
        <v>0</v>
      </c>
      <c r="AG23" s="105">
        <f>COUNTIFS('Details-Products'!$C$7:$C$799999,$B23,'Details-Products'!$BH$7:$BH$799999,AG$10,'Details-Products'!$W$7:$W$799999,"YES")</f>
        <v>0</v>
      </c>
      <c r="AH23" s="108">
        <f>SUMIFS('Details-Products'!$Z$7:$Z$799999,'Details-Products'!$C$7:$C$799999,$B23,'Details-Products'!$BH$7:$BH$799999,AH$10,'Details-Products'!$W$7:$W$799999,"YES")</f>
        <v>0</v>
      </c>
      <c r="AI23" s="104">
        <f>COUNTIFS('Details-Products'!$C$7:$C$799999,$B23,'Details-Products'!$BH$7:$BH$799999,AI$10)</f>
        <v>0</v>
      </c>
      <c r="AJ23" s="105">
        <f>COUNTIFS('Details-Products'!$C$7:$C$799999,$B23,'Details-Products'!$BH$7:$BH$799999,AJ$10,'Details-Products'!$W$7:$W$799999,"YES")</f>
        <v>0</v>
      </c>
      <c r="AK23" s="108">
        <f>SUMIFS('Details-Products'!$Z$7:$Z$799999,'Details-Products'!$C$7:$C$799999,$B23,'Details-Products'!$BH$7:$BH$799999,AK$10,'Details-Products'!$W$7:$W$799999,"YES")</f>
        <v>0</v>
      </c>
      <c r="AL23" s="104">
        <f t="shared" si="10"/>
        <v>0</v>
      </c>
      <c r="AM23" s="105">
        <f t="shared" si="11"/>
        <v>0</v>
      </c>
      <c r="AN23" s="109">
        <f t="shared" si="12"/>
        <v>0</v>
      </c>
      <c r="AO23" s="104">
        <f>COUNTIFS('Details-Products'!$C$7:$C$799999,$B23,'Details-Products'!$BH$7:$BH$799999,AO$10)</f>
        <v>0</v>
      </c>
      <c r="AP23" s="105">
        <f>COUNTIFS('Details-Products'!$C$7:$C$799999,$B23,'Details-Products'!$BH$7:$BH$799999,AP$10,'Details-Products'!$W$7:$W$799999,"YES")</f>
        <v>0</v>
      </c>
      <c r="AQ23" s="111">
        <f>SUMIFS('Details-Products'!$Z$7:$Z$799999,'Details-Products'!$C$7:$C$799999,$B23,'Details-Products'!$BH$7:$BH$799999,AQ$10,'Details-Products'!$W$7:$W$799999,"YES")</f>
        <v>0</v>
      </c>
      <c r="AR23" s="104">
        <f>COUNTIFS('Details-Products'!$C$7:$C$799999,$B23,'Details-Products'!$BH$7:$BH$799999,AR$10)</f>
        <v>0</v>
      </c>
      <c r="AS23" s="105">
        <f>COUNTIFS('Details-Products'!$C$7:$C$799999,$B23,'Details-Products'!$BH$7:$BH$799999,AS$10,'Details-Products'!$W$7:$W$799999,"YES")</f>
        <v>0</v>
      </c>
      <c r="AT23" s="111">
        <f>SUMIFS('Details-Products'!$Z$7:$Z$799999,'Details-Products'!$C$7:$C$799999,$B23,'Details-Products'!$BH$7:$BH$799999,AT$10,'Details-Products'!$W$7:$W$799999,"YES")</f>
        <v>0</v>
      </c>
      <c r="AU23" s="104">
        <f>COUNTIFS('Details-Products'!$C$7:$C$799999,$B23,'Details-Products'!$BH$7:$BH$799999,AU$10)</f>
        <v>0</v>
      </c>
      <c r="AV23" s="105">
        <f>COUNTIFS('Details-Products'!$C$7:$C$799999,$B23,'Details-Products'!$BH$7:$BH$799999,AV$10,'Details-Products'!$W$7:$W$799999,"YES")</f>
        <v>0</v>
      </c>
      <c r="AW23" s="109">
        <f>SUMIFS('Details-Products'!$Z$7:$Z$799999,'Details-Products'!$C$7:$C$799999,$B23,'Details-Products'!$BH$7:$BH$799999,AW$10,'Details-Products'!$W$7:$W$799999,"YES")</f>
        <v>0</v>
      </c>
      <c r="AX23" s="110">
        <f>COUNTIFS('Details-Products'!$C$7:$C$799999,$B23,'Details-Products'!$BH$7:$BH$799999,AX$10)</f>
        <v>0</v>
      </c>
      <c r="AY23" s="105">
        <f>COUNTIFS('Details-Products'!$C$7:$C$799999,$B23,'Details-Products'!$BH$7:$BH$799999,AY$10,'Details-Products'!$W$7:$W$799999,"YES")</f>
        <v>0</v>
      </c>
      <c r="AZ23" s="112">
        <f>SUMIFS('Details-Products'!$Z$7:$Z$799999,'Details-Products'!$C$7:$C$799999,$B23,'Details-Products'!$BH$7:$BH$799999,AZ$10,'Details-Products'!$W$7:$W$799999,"YES")</f>
        <v>0</v>
      </c>
      <c r="BA23" s="104">
        <f>COUNTIFS('Details-Products'!$C$7:$C$799999,$B23,'Details-Products'!$BH$7:$BH$799999,BA$10)</f>
        <v>0</v>
      </c>
      <c r="BB23" s="105">
        <f>COUNTIFS('Details-Products'!$C$7:$C$799999,$B23,'Details-Products'!$BH$7:$BH$799999,BB$10,'Details-Products'!$W$7:$W$799999,"YES")</f>
        <v>0</v>
      </c>
      <c r="BC23" s="113">
        <f>SUMIFS('Details-Products'!$Z$7:$Z$799999,'Details-Products'!$C$7:$C$799999,$B23,'Details-Products'!$BH$7:$BH$799999,BC$10,'Details-Products'!$W$7:$W$799999,"YES")</f>
        <v>0</v>
      </c>
      <c r="BD23" s="110">
        <f>COUNTIFS('Details-Products'!$C$7:$C$799999,$B23,'Details-Products'!$BH$7:$BH$799999,BD$10)</f>
        <v>0</v>
      </c>
      <c r="BE23" s="105">
        <f>COUNTIFS('Details-Products'!$C$7:$C$799999,$B23,'Details-Products'!$BH$7:$BH$799999,BE$10,'Details-Products'!$W$7:$W$799999,"YES")</f>
        <v>0</v>
      </c>
      <c r="BF23" s="113">
        <f>SUMIFS('Details-Products'!$Z$7:$Z$799999,'Details-Products'!$C$7:$C$799999,$B23,'Details-Products'!$BH$7:$BH$799999,BF$10,'Details-Products'!$W$7:$W$799999,"YES")</f>
        <v>0</v>
      </c>
      <c r="BG23" s="104">
        <f t="shared" si="13"/>
        <v>0</v>
      </c>
      <c r="BH23" s="105">
        <f t="shared" si="14"/>
        <v>0</v>
      </c>
      <c r="BI23" s="112">
        <f t="shared" si="15"/>
        <v>0</v>
      </c>
    </row>
    <row r="24" spans="1:61" ht="16.5" thickBot="1" x14ac:dyDescent="0.3">
      <c r="A24" s="66"/>
      <c r="B24" s="67">
        <v>44</v>
      </c>
      <c r="C24" s="67"/>
      <c r="D24" s="68" t="s">
        <v>49</v>
      </c>
      <c r="E24" s="69">
        <f>COUNTIFS('Details-Products'!C15:C100006,B24,'Details-Products'!BH15:BH100006,E19)</f>
        <v>0</v>
      </c>
      <c r="F24" s="70">
        <f>COUNTIFS('Details-Products'!$C$7:$C$99997,$B24,'Details-Products'!$BH$7:$BH$99997,F$10,'Details-Products'!$W$7:$W$99997,"YES")</f>
        <v>0</v>
      </c>
      <c r="G24" s="71">
        <f>SUMIFS('Details-Products'!$Z$7:$Z$99997,'Details-Products'!$C$7:$C$99997,$B24,'Details-Products'!$BH$7:$BH$99997,G$10,'Details-Products'!$W$7:$W$99997,"YES")</f>
        <v>0</v>
      </c>
      <c r="H24" s="69">
        <f>COUNTIFS('Details-Products'!$C$7:$C$99997,$B24,'Details-Products'!$BH$7:$BH$99997,H$10)</f>
        <v>0</v>
      </c>
      <c r="I24" s="70">
        <f>COUNTIFS('Details-Products'!$C$7:$C$799999,$B24,'Details-Products'!$BH$7:$BH$799999,I$10,'Details-Products'!$W$7:$W$799999,"YES")</f>
        <v>0</v>
      </c>
      <c r="J24" s="71">
        <f>SUMIFS('Details-Products'!$Z$7:$Z$799999,'Details-Products'!$C$7:$C$799999,$B24,'Details-Products'!$BH$7:$BH$799999,J$10,'Details-Products'!$W$7:$W$799999,"YES")</f>
        <v>0</v>
      </c>
      <c r="K24" s="69">
        <f>COUNTIFS('Details-Products'!$C$7:$C$99997,$B24,'Details-Products'!$BH$7:$BH$99997,K$10)</f>
        <v>0</v>
      </c>
      <c r="L24" s="70">
        <f>COUNTIFS('Details-Products'!$C$7:$C$799999,$B24,'Details-Products'!$BH$7:$BH$799999,L$10,'Details-Products'!$W$7:$W$799999,"YES")</f>
        <v>0</v>
      </c>
      <c r="M24" s="72">
        <f>SUMIFS('Details-Products'!$Z$7:$Z$799999,'Details-Products'!$C$7:$C$799999,$B24,'Details-Products'!$BH$7:$BH$799999,M$10,'Details-Products'!$W$7:$W$799999,"YES")</f>
        <v>0</v>
      </c>
      <c r="N24" s="73">
        <f t="shared" si="0"/>
        <v>0</v>
      </c>
      <c r="O24" s="74">
        <f t="shared" si="1"/>
        <v>0</v>
      </c>
      <c r="P24" s="75">
        <f t="shared" si="2"/>
        <v>0</v>
      </c>
      <c r="Q24" s="74" t="e">
        <f>VLOOKUP($D24,Ttl_Inv!$A$4:$C$21,3,FALSE)</f>
        <v>#N/A</v>
      </c>
      <c r="R24" s="76" t="e">
        <f t="shared" si="3"/>
        <v>#N/A</v>
      </c>
      <c r="S24" s="77">
        <f>SUMIFS(UPCS!R:R,UPCS!B:B,B24)</f>
        <v>0</v>
      </c>
      <c r="T24" s="78" t="e">
        <f t="shared" si="4"/>
        <v>#N/A</v>
      </c>
      <c r="U24" s="77">
        <f t="shared" si="5"/>
        <v>0</v>
      </c>
      <c r="V24" s="78" t="e">
        <f t="shared" si="6"/>
        <v>#N/A</v>
      </c>
      <c r="W24" s="79">
        <f t="shared" si="7"/>
        <v>0</v>
      </c>
      <c r="X24" s="80">
        <f t="shared" si="8"/>
        <v>0</v>
      </c>
      <c r="Y24" s="81">
        <f t="shared" si="9"/>
        <v>0</v>
      </c>
      <c r="Z24" s="79">
        <f>COUNTIFS('Details-Products'!$C$7:$C$99997,$B24,'Details-Products'!$BH$7:$BH$99997,Z$10)</f>
        <v>0</v>
      </c>
      <c r="AA24" s="80">
        <f>COUNTIFS('Details-Products'!$C$7:$C$799999,$B24,'Details-Products'!$BH$7:$BH$799999,AA$10,'Details-Products'!$W$7:$W$799999,"YES")</f>
        <v>0</v>
      </c>
      <c r="AB24" s="82">
        <f>SUMIFS('Details-Products'!$Z$7:$Z$799999,'Details-Products'!$C$7:$C$799999,$B24,'Details-Products'!$BH$7:$BH$799999,AB$10,'Details-Products'!$W$7:$W$799999,"YES")</f>
        <v>0</v>
      </c>
      <c r="AC24" s="79">
        <f>COUNTIFS('Details-Products'!$C$7:$C$799999,$B24,'Details-Products'!$BH$7:$BH$799999,AC$10)</f>
        <v>0</v>
      </c>
      <c r="AD24" s="80">
        <f>COUNTIFS('Details-Products'!$C$7:$C$799999,$B24,'Details-Products'!$BH$7:$BH$799999,AD$10,'Details-Products'!$W$7:$W$799999,"YES")</f>
        <v>0</v>
      </c>
      <c r="AE24" s="84">
        <f>SUMIFS('Details-Products'!$Z$7:$Z$799999,'Details-Products'!$C$7:$C$799999,$B24,'Details-Products'!$BH$7:$BH$799999,AE$10,'Details-Products'!$W$7:$W$799999,"YES")</f>
        <v>0</v>
      </c>
      <c r="AF24" s="79">
        <f>COUNTIFS('Details-Products'!$C$7:$C$799999,$B24,'Details-Products'!$BH$7:$BH$799999,AF$10)</f>
        <v>0</v>
      </c>
      <c r="AG24" s="80">
        <f>COUNTIFS('Details-Products'!$C$7:$C$799999,$B24,'Details-Products'!$BH$7:$BH$799999,AG$10,'Details-Products'!$W$7:$W$799999,"YES")</f>
        <v>0</v>
      </c>
      <c r="AH24" s="83">
        <f>SUMIFS('Details-Products'!$Z$7:$Z$799999,'Details-Products'!$C$7:$C$799999,$B24,'Details-Products'!$BH$7:$BH$799999,AH$10,'Details-Products'!$W$7:$W$799999,"YES")</f>
        <v>0</v>
      </c>
      <c r="AI24" s="79">
        <f>COUNTIFS('Details-Products'!$C$7:$C$799999,$B24,'Details-Products'!$BH$7:$BH$799999,AI$10)</f>
        <v>0</v>
      </c>
      <c r="AJ24" s="80">
        <f>COUNTIFS('Details-Products'!$C$7:$C$799999,$B24,'Details-Products'!$BH$7:$BH$799999,AJ$10,'Details-Products'!$W$7:$W$799999,"YES")</f>
        <v>0</v>
      </c>
      <c r="AK24" s="83">
        <f>SUMIFS('Details-Products'!$Z$7:$Z$799999,'Details-Products'!$C$7:$C$799999,$B24,'Details-Products'!$BH$7:$BH$799999,AK$10,'Details-Products'!$W$7:$W$799999,"YES")</f>
        <v>0</v>
      </c>
      <c r="AL24" s="79">
        <f t="shared" si="10"/>
        <v>0</v>
      </c>
      <c r="AM24" s="80">
        <f t="shared" si="11"/>
        <v>0</v>
      </c>
      <c r="AN24" s="85">
        <f t="shared" si="12"/>
        <v>0</v>
      </c>
      <c r="AO24" s="79">
        <f>COUNTIFS('Details-Products'!$C$7:$C$799999,$B24,'Details-Products'!$BH$7:$BH$799999,AO$10)</f>
        <v>0</v>
      </c>
      <c r="AP24" s="80">
        <f>COUNTIFS('Details-Products'!$C$7:$C$799999,$B24,'Details-Products'!$BH$7:$BH$799999,AP$10,'Details-Products'!$W$7:$W$799999,"YES")</f>
        <v>0</v>
      </c>
      <c r="AQ24" s="87">
        <f>SUMIFS('Details-Products'!$Z$7:$Z$799999,'Details-Products'!$C$7:$C$799999,$B24,'Details-Products'!$BH$7:$BH$799999,AQ$10,'Details-Products'!$W$7:$W$799999,"YES")</f>
        <v>0</v>
      </c>
      <c r="AR24" s="79">
        <f>COUNTIFS('Details-Products'!$C$7:$C$799999,$B24,'Details-Products'!$BH$7:$BH$799999,AR$10)</f>
        <v>0</v>
      </c>
      <c r="AS24" s="80">
        <f>COUNTIFS('Details-Products'!$C$7:$C$799999,$B24,'Details-Products'!$BH$7:$BH$799999,AS$10,'Details-Products'!$W$7:$W$799999,"YES")</f>
        <v>0</v>
      </c>
      <c r="AT24" s="87">
        <f>SUMIFS('Details-Products'!$Z$7:$Z$799999,'Details-Products'!$C$7:$C$799999,$B24,'Details-Products'!$BH$7:$BH$799999,AT$10,'Details-Products'!$W$7:$W$799999,"YES")</f>
        <v>0</v>
      </c>
      <c r="AU24" s="79">
        <f>COUNTIFS('Details-Products'!$C$7:$C$799999,$B24,'Details-Products'!$BH$7:$BH$799999,AU$10)</f>
        <v>0</v>
      </c>
      <c r="AV24" s="80">
        <f>COUNTIFS('Details-Products'!$C$7:$C$799999,$B24,'Details-Products'!$BH$7:$BH$799999,AV$10,'Details-Products'!$W$7:$W$799999,"YES")</f>
        <v>0</v>
      </c>
      <c r="AW24" s="85">
        <f>SUMIFS('Details-Products'!$Z$7:$Z$799999,'Details-Products'!$C$7:$C$799999,$B24,'Details-Products'!$BH$7:$BH$799999,AW$10,'Details-Products'!$W$7:$W$799999,"YES")</f>
        <v>0</v>
      </c>
      <c r="AX24" s="86">
        <f>COUNTIFS('Details-Products'!$C$7:$C$799999,$B24,'Details-Products'!$BH$7:$BH$799999,AX$10)</f>
        <v>0</v>
      </c>
      <c r="AY24" s="80">
        <f>COUNTIFS('Details-Products'!$C$7:$C$799999,$B24,'Details-Products'!$BH$7:$BH$799999,AY$10,'Details-Products'!$W$7:$W$799999,"YES")</f>
        <v>0</v>
      </c>
      <c r="AZ24" s="88">
        <f>SUMIFS('Details-Products'!$Z$7:$Z$799999,'Details-Products'!$C$7:$C$799999,$B24,'Details-Products'!$BH$7:$BH$799999,AZ$10,'Details-Products'!$W$7:$W$799999,"YES")</f>
        <v>0</v>
      </c>
      <c r="BA24" s="79">
        <f>COUNTIFS('Details-Products'!$C$7:$C$799999,$B24,'Details-Products'!$BH$7:$BH$799999,BA$10)</f>
        <v>0</v>
      </c>
      <c r="BB24" s="80">
        <f>COUNTIFS('Details-Products'!$C$7:$C$799999,$B24,'Details-Products'!$BH$7:$BH$799999,BB$10,'Details-Products'!$W$7:$W$799999,"YES")</f>
        <v>0</v>
      </c>
      <c r="BC24" s="89">
        <f>SUMIFS('Details-Products'!$Z$7:$Z$799999,'Details-Products'!$C$7:$C$799999,$B24,'Details-Products'!$BH$7:$BH$799999,BC$10,'Details-Products'!$W$7:$W$799999,"YES")</f>
        <v>0</v>
      </c>
      <c r="BD24" s="86">
        <f>COUNTIFS('Details-Products'!$C$7:$C$799999,$B24,'Details-Products'!$BH$7:$BH$799999,BD$10)</f>
        <v>0</v>
      </c>
      <c r="BE24" s="80">
        <f>COUNTIFS('Details-Products'!$C$7:$C$799999,$B24,'Details-Products'!$BH$7:$BH$799999,BE$10,'Details-Products'!$W$7:$W$799999,"YES")</f>
        <v>0</v>
      </c>
      <c r="BF24" s="89">
        <f>SUMIFS('Details-Products'!$Z$7:$Z$799999,'Details-Products'!$C$7:$C$799999,$B24,'Details-Products'!$BH$7:$BH$799999,BF$10,'Details-Products'!$W$7:$W$799999,"YES")</f>
        <v>0</v>
      </c>
      <c r="BG24" s="79">
        <f t="shared" si="13"/>
        <v>0</v>
      </c>
      <c r="BH24" s="80">
        <f t="shared" si="14"/>
        <v>0</v>
      </c>
      <c r="BI24" s="88">
        <f t="shared" si="15"/>
        <v>0</v>
      </c>
    </row>
    <row r="25" spans="1:61" ht="16.5" thickBot="1" x14ac:dyDescent="0.3">
      <c r="A25" s="1"/>
      <c r="B25" s="1"/>
      <c r="C25" s="1"/>
      <c r="D25" s="118" t="s">
        <v>2</v>
      </c>
      <c r="E25" s="119">
        <f>SUM(E14:E24)</f>
        <v>0</v>
      </c>
      <c r="F25" s="119">
        <f>SUM(F14:F24)</f>
        <v>0</v>
      </c>
      <c r="G25" s="119">
        <f>SUM(G14:G24)</f>
        <v>0</v>
      </c>
      <c r="H25" s="119">
        <f t="shared" ref="H25:M25" si="16">+H24+H22+H20+H18+H16+H14</f>
        <v>0</v>
      </c>
      <c r="I25" s="120">
        <f t="shared" si="16"/>
        <v>0</v>
      </c>
      <c r="J25" s="120">
        <f t="shared" si="16"/>
        <v>0</v>
      </c>
      <c r="K25" s="119">
        <f t="shared" si="16"/>
        <v>0</v>
      </c>
      <c r="L25" s="120">
        <f t="shared" si="16"/>
        <v>0</v>
      </c>
      <c r="M25" s="121">
        <f t="shared" si="16"/>
        <v>0</v>
      </c>
      <c r="N25" s="122">
        <f>SUM(N14:N24)</f>
        <v>0</v>
      </c>
      <c r="O25" s="123">
        <f>SUM(O14:O24)</f>
        <v>0</v>
      </c>
      <c r="P25" s="124">
        <f t="shared" si="2"/>
        <v>0</v>
      </c>
      <c r="Q25" s="123" t="e">
        <f>VLOOKUP($D25,Ttl_Inv!$A$4:$C$21,3,FALSE)</f>
        <v>#N/A</v>
      </c>
      <c r="R25" s="125" t="e">
        <f t="shared" si="3"/>
        <v>#N/A</v>
      </c>
      <c r="S25" s="126">
        <f>SUM(S14:S24)</f>
        <v>0</v>
      </c>
      <c r="T25" s="127" t="e">
        <f t="shared" si="4"/>
        <v>#N/A</v>
      </c>
      <c r="U25" s="126">
        <f t="shared" si="5"/>
        <v>0</v>
      </c>
      <c r="V25" s="128" t="e">
        <f t="shared" si="6"/>
        <v>#N/A</v>
      </c>
      <c r="W25" s="129">
        <f t="shared" ref="W25:AB25" si="17">SUM(W14:W24)</f>
        <v>0</v>
      </c>
      <c r="X25" s="130">
        <f t="shared" si="17"/>
        <v>0</v>
      </c>
      <c r="Y25" s="131">
        <f t="shared" si="17"/>
        <v>0</v>
      </c>
      <c r="Z25" s="129">
        <f t="shared" si="17"/>
        <v>0</v>
      </c>
      <c r="AA25" s="130">
        <f t="shared" si="17"/>
        <v>0</v>
      </c>
      <c r="AB25" s="131">
        <f t="shared" si="17"/>
        <v>0</v>
      </c>
      <c r="AC25" s="129">
        <f>+AC24+AC22+AC20+AC18+AC16+AC14</f>
        <v>0</v>
      </c>
      <c r="AD25" s="130">
        <f>SUM(AD14:AD24)</f>
        <v>0</v>
      </c>
      <c r="AE25" s="132">
        <f>SUM(AE14:AE24)</f>
        <v>0</v>
      </c>
      <c r="AF25" s="129">
        <f>+AF24+AF22+AF20+AF18+AF16+AF14</f>
        <v>0</v>
      </c>
      <c r="AG25" s="130">
        <f t="shared" ref="AG25:AW25" si="18">SUM(AG14:AG24)</f>
        <v>0</v>
      </c>
      <c r="AH25" s="132">
        <f t="shared" si="18"/>
        <v>0</v>
      </c>
      <c r="AI25" s="129">
        <f t="shared" si="18"/>
        <v>0</v>
      </c>
      <c r="AJ25" s="130">
        <f t="shared" si="18"/>
        <v>0</v>
      </c>
      <c r="AK25" s="132">
        <f t="shared" si="18"/>
        <v>0</v>
      </c>
      <c r="AL25" s="133">
        <f t="shared" si="18"/>
        <v>0</v>
      </c>
      <c r="AM25" s="134">
        <f t="shared" si="18"/>
        <v>0</v>
      </c>
      <c r="AN25" s="135">
        <f t="shared" si="18"/>
        <v>0</v>
      </c>
      <c r="AO25" s="129">
        <f t="shared" si="18"/>
        <v>0</v>
      </c>
      <c r="AP25" s="130">
        <f t="shared" si="18"/>
        <v>0</v>
      </c>
      <c r="AQ25" s="135">
        <f t="shared" si="18"/>
        <v>0</v>
      </c>
      <c r="AR25" s="129">
        <f t="shared" si="18"/>
        <v>0</v>
      </c>
      <c r="AS25" s="130">
        <f t="shared" si="18"/>
        <v>0</v>
      </c>
      <c r="AT25" s="135">
        <f t="shared" si="18"/>
        <v>0</v>
      </c>
      <c r="AU25" s="129">
        <f t="shared" si="18"/>
        <v>0</v>
      </c>
      <c r="AV25" s="130">
        <f t="shared" si="18"/>
        <v>0</v>
      </c>
      <c r="AW25" s="135">
        <f t="shared" si="18"/>
        <v>0</v>
      </c>
      <c r="AX25" s="136">
        <f>+AX24+AX22+AX20+AX18+AX16+AX14</f>
        <v>0</v>
      </c>
      <c r="AY25" s="130">
        <f>SUM(AY14:AY24)</f>
        <v>0</v>
      </c>
      <c r="AZ25" s="132">
        <f>SUM(AZ14:AZ24)</f>
        <v>0</v>
      </c>
      <c r="BA25" s="129">
        <f>+BA24+BA22+BA20+BA18+BA16+BA14</f>
        <v>0</v>
      </c>
      <c r="BB25" s="130">
        <f>SUM(BB14:BB24)</f>
        <v>0</v>
      </c>
      <c r="BC25" s="132">
        <f>SUM(BC14:BC24)</f>
        <v>0</v>
      </c>
      <c r="BD25" s="136">
        <f>+BD24+BD22+BD20+BD18+BD16+BD14</f>
        <v>0</v>
      </c>
      <c r="BE25" s="130">
        <f>SUM(BE14:BE24)</f>
        <v>0</v>
      </c>
      <c r="BF25" s="137">
        <f>+BF24+BF22+BF20+BF18+BF16+BF14</f>
        <v>0</v>
      </c>
      <c r="BG25" s="129">
        <f>SUM(BG14:BG24)</f>
        <v>0</v>
      </c>
      <c r="BH25" s="130">
        <f>SUM(BH14:BH24)</f>
        <v>0</v>
      </c>
      <c r="BI25" s="135">
        <f>SUM(BI14:BI24)</f>
        <v>0</v>
      </c>
    </row>
  </sheetData>
  <mergeCells count="39">
    <mergeCell ref="N5:R5"/>
    <mergeCell ref="W5:BH5"/>
    <mergeCell ref="N8:V8"/>
    <mergeCell ref="E9:G9"/>
    <mergeCell ref="H9:J9"/>
    <mergeCell ref="K9:M9"/>
    <mergeCell ref="N9:R9"/>
    <mergeCell ref="S9:T9"/>
    <mergeCell ref="U9:V9"/>
    <mergeCell ref="W9:Y9"/>
    <mergeCell ref="BD9:BF9"/>
    <mergeCell ref="Z9:AB9"/>
    <mergeCell ref="AC9:AE9"/>
    <mergeCell ref="AF9:AH9"/>
    <mergeCell ref="AI9:AK9"/>
    <mergeCell ref="AL9:AN9"/>
    <mergeCell ref="BG9:BI9"/>
    <mergeCell ref="D12:D13"/>
    <mergeCell ref="O12:R12"/>
    <mergeCell ref="S12:T12"/>
    <mergeCell ref="U12:V12"/>
    <mergeCell ref="X12:Y12"/>
    <mergeCell ref="AO9:AQ9"/>
    <mergeCell ref="AR9:AT9"/>
    <mergeCell ref="AU9:AW9"/>
    <mergeCell ref="AX9:AZ9"/>
    <mergeCell ref="BA9:BC9"/>
    <mergeCell ref="AA12:AB12"/>
    <mergeCell ref="AP12:AQ12"/>
    <mergeCell ref="AG12:AH12"/>
    <mergeCell ref="AJ12:AK12"/>
    <mergeCell ref="AM12:AN12"/>
    <mergeCell ref="AD12:AE12"/>
    <mergeCell ref="BE12:BF12"/>
    <mergeCell ref="BH12:BI12"/>
    <mergeCell ref="BB12:BC12"/>
    <mergeCell ref="AS12:AT12"/>
    <mergeCell ref="AV12:AW12"/>
    <mergeCell ref="AY12:AZ12"/>
  </mergeCells>
  <conditionalFormatting sqref="V14:V25">
    <cfRule type="cellIs" dxfId="3" priority="1" operator="lessThan">
      <formula>0.048</formula>
    </cfRule>
    <cfRule type="cellIs" dxfId="2" priority="2" operator="greaterThan">
      <formula>0.049</formula>
    </cfRule>
    <cfRule type="cellIs" dxfId="1" priority="3" operator="lessThan">
      <formula>4.8</formula>
    </cfRule>
    <cfRule type="cellIs" dxfId="0" priority="4" operator="greaterThan">
      <formula>4.9</formula>
    </cfRule>
  </conditionalFormatting>
  <pageMargins left="0.7" right="0.7" top="0.75" bottom="0.75" header="0.3" footer="0.3"/>
  <pageSetup paperSize="5" scale="26" orientation="landscape" r:id="rId1"/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50"/>
  </sheetPr>
  <dimension ref="A1:CP7"/>
  <sheetViews>
    <sheetView topLeftCell="BX1" zoomScaleNormal="100" workbookViewId="0">
      <selection activeCell="CC3" sqref="CC3"/>
    </sheetView>
  </sheetViews>
  <sheetFormatPr defaultRowHeight="15" outlineLevelRow="1" outlineLevelCol="1" x14ac:dyDescent="0.25"/>
  <cols>
    <col min="1" max="1" width="9.140625" customWidth="1" outlineLevel="1"/>
    <col min="2" max="2" width="9.140625" style="206" customWidth="1" outlineLevel="1"/>
    <col min="4" max="4" width="11.140625" bestFit="1" customWidth="1"/>
    <col min="6" max="6" width="10" bestFit="1" customWidth="1"/>
    <col min="8" max="8" width="10.5703125" bestFit="1" customWidth="1"/>
    <col min="9" max="9" width="12.140625" bestFit="1" customWidth="1"/>
    <col min="10" max="10" width="10.5703125" customWidth="1"/>
    <col min="11" max="11" width="17" bestFit="1" customWidth="1"/>
    <col min="12" max="13" width="17" customWidth="1"/>
    <col min="14" max="14" width="15.5703125" style="208" bestFit="1" customWidth="1"/>
    <col min="15" max="15" width="15.5703125" style="208" customWidth="1"/>
    <col min="16" max="17" width="14.85546875" customWidth="1"/>
    <col min="18" max="18" width="10.5703125" customWidth="1"/>
    <col min="19" max="19" width="15.7109375" bestFit="1" customWidth="1"/>
    <col min="20" max="20" width="9.85546875" bestFit="1" customWidth="1"/>
    <col min="21" max="21" width="17.7109375" bestFit="1" customWidth="1"/>
    <col min="22" max="22" width="22.5703125" customWidth="1"/>
    <col min="23" max="24" width="9.140625" customWidth="1"/>
    <col min="25" max="25" width="14.7109375" style="205" customWidth="1"/>
    <col min="26" max="26" width="9.85546875" style="209" customWidth="1"/>
    <col min="27" max="27" width="13.42578125" style="205" bestFit="1" customWidth="1"/>
    <col min="28" max="28" width="22.5703125" style="205" bestFit="1" customWidth="1"/>
    <col min="29" max="29" width="22.5703125" style="205" customWidth="1"/>
    <col min="30" max="30" width="12.42578125" customWidth="1"/>
    <col min="31" max="31" width="7.42578125" bestFit="1" customWidth="1"/>
    <col min="32" max="32" width="19.42578125" style="210" customWidth="1"/>
    <col min="33" max="33" width="20.42578125" bestFit="1" customWidth="1"/>
    <col min="34" max="34" width="18.85546875" bestFit="1" customWidth="1"/>
    <col min="35" max="35" width="13.42578125" bestFit="1" customWidth="1"/>
    <col min="36" max="38" width="18.140625" style="205" customWidth="1"/>
    <col min="39" max="41" width="20.5703125" style="205" customWidth="1"/>
    <col min="42" max="44" width="21.28515625" style="205" customWidth="1"/>
    <col min="45" max="46" width="18.140625" style="205" customWidth="1"/>
    <col min="47" max="49" width="22.85546875" style="205" customWidth="1"/>
    <col min="50" max="53" width="18.140625" style="205" customWidth="1"/>
    <col min="54" max="55" width="27.42578125" style="205" customWidth="1"/>
    <col min="56" max="58" width="18.140625" customWidth="1"/>
    <col min="59" max="59" width="24.5703125" customWidth="1"/>
    <col min="60" max="60" width="34.28515625" customWidth="1"/>
    <col min="61" max="61" width="14.7109375" bestFit="1" customWidth="1"/>
    <col min="62" max="62" width="12.42578125" customWidth="1" outlineLevel="1"/>
    <col min="63" max="63" width="12.42578125" style="205" customWidth="1" outlineLevel="1"/>
    <col min="64" max="64" width="12.42578125" customWidth="1" outlineLevel="1"/>
    <col min="65" max="65" width="12.42578125" style="205" customWidth="1" outlineLevel="1"/>
    <col min="66" max="66" width="12.42578125" customWidth="1" outlineLevel="1"/>
    <col min="67" max="67" width="27.28515625" customWidth="1"/>
    <col min="68" max="79" width="9.140625" customWidth="1"/>
    <col min="80" max="80" width="21.5703125" customWidth="1"/>
    <col min="81" max="81" width="5.7109375" style="211" customWidth="1"/>
    <col min="82" max="82" width="33" bestFit="1" customWidth="1"/>
    <col min="83" max="83" width="33" customWidth="1"/>
    <col min="84" max="91" width="12.7109375" customWidth="1"/>
    <col min="92" max="92" width="28.85546875" bestFit="1" customWidth="1"/>
  </cols>
  <sheetData>
    <row r="1" spans="1:94" x14ac:dyDescent="0.25">
      <c r="C1" s="207" t="s">
        <v>66</v>
      </c>
      <c r="H1" t="s">
        <v>0</v>
      </c>
      <c r="CN1" t="s">
        <v>0</v>
      </c>
      <c r="CO1" t="s">
        <v>67</v>
      </c>
    </row>
    <row r="2" spans="1:94" x14ac:dyDescent="0.25"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3"/>
      <c r="P2" s="212"/>
      <c r="Q2" s="212"/>
      <c r="R2" s="212"/>
      <c r="S2" s="212"/>
      <c r="T2" s="212"/>
      <c r="U2" s="212"/>
      <c r="V2" s="212"/>
      <c r="W2" s="214"/>
      <c r="X2" s="212"/>
      <c r="Y2" s="215"/>
      <c r="Z2" s="216"/>
      <c r="AA2" s="215"/>
      <c r="AB2" s="215"/>
      <c r="AC2" s="215"/>
      <c r="AD2" s="212"/>
      <c r="AE2" s="212"/>
      <c r="AF2" s="217"/>
      <c r="AG2" s="212"/>
      <c r="AH2" s="212"/>
      <c r="AI2" s="212"/>
      <c r="AJ2" s="215"/>
      <c r="AK2" s="215"/>
      <c r="AL2" s="215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2"/>
      <c r="BE2" s="212"/>
      <c r="BF2" s="212"/>
      <c r="BG2" s="212"/>
      <c r="BH2" s="214"/>
      <c r="BI2" s="206"/>
      <c r="BJ2" s="212"/>
      <c r="BK2" s="215"/>
      <c r="BL2" s="212"/>
      <c r="BM2" s="215"/>
      <c r="BN2" s="212"/>
      <c r="BO2" s="212"/>
      <c r="CD2" s="218"/>
      <c r="CE2" s="219"/>
      <c r="CG2" s="206"/>
      <c r="CH2" s="206"/>
      <c r="CI2" s="206"/>
      <c r="CJ2" s="206"/>
      <c r="CK2" s="206"/>
      <c r="CL2" s="206"/>
      <c r="CM2" s="206"/>
      <c r="CN2" s="219"/>
    </row>
    <row r="3" spans="1:94" x14ac:dyDescent="0.25">
      <c r="A3" s="220"/>
      <c r="B3" s="206" t="s">
        <v>299</v>
      </c>
      <c r="C3" s="214" t="s">
        <v>277</v>
      </c>
      <c r="D3" s="214" t="s">
        <v>277</v>
      </c>
      <c r="E3" s="214" t="s">
        <v>277</v>
      </c>
      <c r="F3" s="214" t="s">
        <v>277</v>
      </c>
      <c r="G3" s="214" t="s">
        <v>277</v>
      </c>
      <c r="H3" s="214" t="s">
        <v>277</v>
      </c>
      <c r="I3" s="214" t="s">
        <v>277</v>
      </c>
      <c r="J3" s="214" t="s">
        <v>277</v>
      </c>
      <c r="K3" s="214" t="s">
        <v>277</v>
      </c>
      <c r="L3" s="214" t="s">
        <v>277</v>
      </c>
      <c r="M3" s="214" t="s">
        <v>277</v>
      </c>
      <c r="N3" s="214" t="s">
        <v>277</v>
      </c>
      <c r="O3" s="214" t="s">
        <v>277</v>
      </c>
      <c r="P3" s="214" t="s">
        <v>277</v>
      </c>
      <c r="Q3" s="214" t="s">
        <v>277</v>
      </c>
      <c r="R3" s="214" t="s">
        <v>277</v>
      </c>
      <c r="S3" s="214" t="s">
        <v>277</v>
      </c>
      <c r="T3" s="214" t="s">
        <v>277</v>
      </c>
      <c r="U3" s="214" t="s">
        <v>277</v>
      </c>
      <c r="V3" s="214" t="s">
        <v>277</v>
      </c>
      <c r="W3" s="214" t="s">
        <v>278</v>
      </c>
      <c r="X3" s="214" t="s">
        <v>277</v>
      </c>
      <c r="Y3" s="221" t="s">
        <v>279</v>
      </c>
      <c r="Z3" s="214" t="s">
        <v>277</v>
      </c>
      <c r="AA3" s="214" t="s">
        <v>277</v>
      </c>
      <c r="AB3" s="221" t="s">
        <v>279</v>
      </c>
      <c r="AC3" s="221" t="s">
        <v>279</v>
      </c>
      <c r="AD3" s="214" t="s">
        <v>277</v>
      </c>
      <c r="AE3" s="214" t="s">
        <v>277</v>
      </c>
      <c r="AF3" s="214" t="s">
        <v>277</v>
      </c>
      <c r="AG3" s="214" t="s">
        <v>277</v>
      </c>
      <c r="AH3" s="214" t="s">
        <v>277</v>
      </c>
      <c r="AI3" s="214" t="s">
        <v>277</v>
      </c>
      <c r="AJ3" s="221" t="s">
        <v>279</v>
      </c>
      <c r="AK3" s="221" t="s">
        <v>279</v>
      </c>
      <c r="AL3" s="221" t="s">
        <v>279</v>
      </c>
      <c r="AM3" s="221" t="s">
        <v>279</v>
      </c>
      <c r="AN3" s="221" t="s">
        <v>279</v>
      </c>
      <c r="AO3" s="221" t="s">
        <v>279</v>
      </c>
      <c r="AP3" s="221" t="s">
        <v>279</v>
      </c>
      <c r="AQ3" s="221" t="s">
        <v>279</v>
      </c>
      <c r="AR3" s="221" t="s">
        <v>279</v>
      </c>
      <c r="AS3" s="221" t="s">
        <v>279</v>
      </c>
      <c r="AT3" s="221" t="s">
        <v>279</v>
      </c>
      <c r="AU3" s="221" t="s">
        <v>279</v>
      </c>
      <c r="AV3" s="221" t="s">
        <v>279</v>
      </c>
      <c r="AW3" s="221" t="s">
        <v>279</v>
      </c>
      <c r="AX3" s="221" t="s">
        <v>279</v>
      </c>
      <c r="AY3" s="221" t="s">
        <v>279</v>
      </c>
      <c r="AZ3" s="221" t="s">
        <v>279</v>
      </c>
      <c r="BA3" s="221" t="s">
        <v>279</v>
      </c>
      <c r="BB3" s="221" t="s">
        <v>279</v>
      </c>
      <c r="BC3" s="221" t="s">
        <v>279</v>
      </c>
      <c r="BD3" s="214" t="s">
        <v>277</v>
      </c>
      <c r="BE3" s="214" t="s">
        <v>277</v>
      </c>
      <c r="BF3" s="214" t="s">
        <v>277</v>
      </c>
      <c r="BG3" s="214" t="s">
        <v>277</v>
      </c>
      <c r="BH3" s="214" t="str">
        <f>IF(CG3="-",VLOOKUP(CD3,Info!$C$1:$F$21,4,FALSE),CG3)</f>
        <v>Exception</v>
      </c>
      <c r="BI3" s="206" t="str">
        <f>VLOOKUP(BH3,Info!$F$1:$H$23,3,FALSE)</f>
        <v>Merchants</v>
      </c>
      <c r="BJ3" s="206" t="str">
        <f ca="1">IF(BI3="Merchants","",(IF(AS3="","0",(((IFERROR(NETWORKDAYS(AS3,INDIRECT("'Daily Dash'!$N$5")-1),"-")))))))</f>
        <v/>
      </c>
      <c r="BK3" s="222" t="str">
        <f>IFERROR(IF(BI3="Merchants","",IF(AM3="Live",IF(AT3&lt;&gt;"",(WORKDAY(AT3,12)),IF(AS3&lt;&gt;"",(WORKDAY(AS3,12)),IF(AND(AT3="",AS3="",W3="Yes"),(WORKDAY(AA3,16)),IF(AND(AT3="",AS3="",W3="No"),WORKDAY(AK3,30))))),IF(OR(AM3="Vendor",AM3="Sample",AM3=""),IF(AND(AP3&lt;&gt;"",AV3&lt;&gt;""),(WORKDAY(MAX(AP3,AV3),12)),IF(AT3&lt;&gt;"",(WORKDAY(AT3,12)),IF(AS3&lt;&gt;"",(WORKDAY(AS3,12)),IF(AND(AT3="",AS3=""),IF(W3="Yes",(WORKDAY(AA3,16)),(WORKDAY(AK3,30)))))))))),"-")</f>
        <v/>
      </c>
      <c r="BL3" s="206" t="str">
        <f ca="1">IFERROR(IF(BK3&gt;INDIRECT("'Daily Dash'!$N$5"),"T- "&amp;ROUNDUP(BK3-INDIRECT("'Daily Dash'!$N$5"),0),"Past"),"-")</f>
        <v>-</v>
      </c>
      <c r="BM3" s="222" t="s">
        <v>58</v>
      </c>
      <c r="BN3" s="206" t="str">
        <f ca="1">IFERROR(NETWORKDAYS(AJ3,INDIRECT("'Daily Dash'!$N$5"),0),"-")</f>
        <v>-</v>
      </c>
      <c r="BO3" s="214" t="s">
        <v>277</v>
      </c>
      <c r="CC3" s="223"/>
      <c r="CD3" s="214" t="s">
        <v>277</v>
      </c>
      <c r="CE3" s="214" t="s">
        <v>277</v>
      </c>
      <c r="CF3" s="206"/>
      <c r="CG3" s="206" t="str">
        <f>IF(BG3&gt;0,"Exception", IF(BD3="Rollup Product", "Rollup Product Workflow", "-"))</f>
        <v>Exception</v>
      </c>
      <c r="CH3" s="222">
        <f>MAX(AN3,AO3)</f>
        <v>0</v>
      </c>
      <c r="CI3" s="222">
        <f>MAX(AO3,AQ3)</f>
        <v>0</v>
      </c>
      <c r="CJ3" s="222">
        <f>MAX(AS3,AR3)</f>
        <v>0</v>
      </c>
      <c r="CK3" s="222">
        <f>MAX(AW3,AT3, AU3)</f>
        <v>0</v>
      </c>
      <c r="CL3" s="222" t="str">
        <f>IF(AW3="",AY3,AW3)</f>
        <v>ReplaceZero</v>
      </c>
      <c r="CM3" s="222">
        <f>MAX(AX3,AY3)</f>
        <v>0</v>
      </c>
      <c r="CN3" s="214" t="str">
        <f>IFERROR(VLOOKUP(CD3,Info!$F$1:$I$23,4,FALSE), "")</f>
        <v/>
      </c>
    </row>
    <row r="4" spans="1:94" outlineLevel="1" x14ac:dyDescent="0.25">
      <c r="A4" s="224" t="s">
        <v>68</v>
      </c>
      <c r="B4" s="225">
        <v>2</v>
      </c>
      <c r="C4" s="226" t="s">
        <v>69</v>
      </c>
      <c r="D4" s="226" t="s">
        <v>70</v>
      </c>
      <c r="E4" s="226" t="s">
        <v>71</v>
      </c>
      <c r="F4" s="226" t="s">
        <v>72</v>
      </c>
      <c r="G4" s="226" t="s">
        <v>73</v>
      </c>
      <c r="H4" s="226" t="s">
        <v>74</v>
      </c>
      <c r="I4" s="226" t="s">
        <v>75</v>
      </c>
      <c r="J4" s="226" t="s">
        <v>76</v>
      </c>
      <c r="K4" s="226" t="s">
        <v>77</v>
      </c>
      <c r="L4" s="226" t="s">
        <v>78</v>
      </c>
      <c r="M4" s="226" t="s">
        <v>79</v>
      </c>
      <c r="N4" s="227" t="s">
        <v>80</v>
      </c>
      <c r="O4" s="227" t="s">
        <v>81</v>
      </c>
      <c r="P4" s="226" t="s">
        <v>82</v>
      </c>
      <c r="Q4" s="226" t="s">
        <v>83</v>
      </c>
      <c r="R4" s="226" t="s">
        <v>84</v>
      </c>
      <c r="S4" s="226" t="s">
        <v>85</v>
      </c>
      <c r="T4" s="226" t="s">
        <v>86</v>
      </c>
      <c r="U4" s="226" t="s">
        <v>87</v>
      </c>
      <c r="V4" s="226" t="s">
        <v>88</v>
      </c>
      <c r="W4" s="226" t="s">
        <v>89</v>
      </c>
      <c r="X4" s="226" t="s">
        <v>90</v>
      </c>
      <c r="Y4" s="228" t="s">
        <v>91</v>
      </c>
      <c r="Z4" s="227" t="s">
        <v>92</v>
      </c>
      <c r="AA4" s="228" t="s">
        <v>93</v>
      </c>
      <c r="AB4" s="228" t="s">
        <v>94</v>
      </c>
      <c r="AC4" s="228" t="s">
        <v>95</v>
      </c>
      <c r="AD4" s="226" t="s">
        <v>96</v>
      </c>
      <c r="AE4" s="226" t="s">
        <v>97</v>
      </c>
      <c r="AF4" s="229" t="s">
        <v>98</v>
      </c>
      <c r="AG4" s="226" t="s">
        <v>99</v>
      </c>
      <c r="AH4" s="226" t="s">
        <v>100</v>
      </c>
      <c r="AI4" s="226" t="s">
        <v>101</v>
      </c>
      <c r="AJ4" s="228" t="s">
        <v>102</v>
      </c>
      <c r="AK4" s="228" t="s">
        <v>103</v>
      </c>
      <c r="AL4" s="228" t="s">
        <v>104</v>
      </c>
      <c r="AM4" s="228" t="s">
        <v>105</v>
      </c>
      <c r="AN4" s="228" t="s">
        <v>106</v>
      </c>
      <c r="AO4" s="228" t="s">
        <v>107</v>
      </c>
      <c r="AP4" s="228" t="s">
        <v>108</v>
      </c>
      <c r="AQ4" s="228" t="s">
        <v>109</v>
      </c>
      <c r="AR4" s="228" t="s">
        <v>110</v>
      </c>
      <c r="AS4" s="228" t="s">
        <v>111</v>
      </c>
      <c r="AT4" s="228" t="s">
        <v>112</v>
      </c>
      <c r="AU4" s="228" t="s">
        <v>113</v>
      </c>
      <c r="AV4" s="228" t="s">
        <v>266</v>
      </c>
      <c r="AW4" s="228" t="s">
        <v>114</v>
      </c>
      <c r="AX4" s="228" t="s">
        <v>115</v>
      </c>
      <c r="AY4" s="228" t="s">
        <v>116</v>
      </c>
      <c r="AZ4" s="226" t="s">
        <v>117</v>
      </c>
      <c r="BA4" s="228" t="s">
        <v>118</v>
      </c>
      <c r="BB4" s="228" t="s">
        <v>119</v>
      </c>
      <c r="BC4" s="228" t="s">
        <v>120</v>
      </c>
      <c r="BD4" s="226" t="s">
        <v>121</v>
      </c>
      <c r="BE4" s="226" t="s">
        <v>122</v>
      </c>
      <c r="BF4" s="226" t="s">
        <v>123</v>
      </c>
      <c r="BG4" s="226" t="s">
        <v>124</v>
      </c>
      <c r="BH4" s="226" t="s">
        <v>125</v>
      </c>
      <c r="BI4" s="226"/>
      <c r="BJ4" s="226"/>
      <c r="BK4" s="228"/>
      <c r="BL4" s="226"/>
      <c r="BM4" s="228"/>
      <c r="BN4" s="226"/>
      <c r="BO4" s="226" t="s">
        <v>126</v>
      </c>
      <c r="CC4" s="230"/>
      <c r="CD4" s="224" t="s">
        <v>127</v>
      </c>
      <c r="CE4" s="226" t="s">
        <v>125</v>
      </c>
      <c r="CF4" s="226"/>
      <c r="CG4" s="226"/>
      <c r="CH4" s="226"/>
      <c r="CI4" s="226"/>
      <c r="CJ4" s="226"/>
      <c r="CK4" s="226"/>
      <c r="CL4" s="226"/>
      <c r="CM4" s="226"/>
      <c r="CN4" s="226"/>
    </row>
    <row r="5" spans="1:94" ht="15.75" outlineLevel="1" thickBot="1" x14ac:dyDescent="0.3">
      <c r="A5" s="224"/>
      <c r="B5" s="231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7"/>
      <c r="O5" s="227"/>
      <c r="P5" s="226"/>
      <c r="Q5" s="226"/>
      <c r="R5" s="226"/>
      <c r="S5" s="226"/>
      <c r="T5" s="226"/>
      <c r="U5" s="226"/>
      <c r="V5" s="226"/>
      <c r="W5" s="226"/>
      <c r="X5" s="226"/>
      <c r="Y5" s="228"/>
      <c r="Z5" s="227"/>
      <c r="AA5" s="228"/>
      <c r="AB5" s="228"/>
      <c r="AC5" s="228"/>
      <c r="AD5" s="226"/>
      <c r="AE5" s="226"/>
      <c r="AF5" s="229"/>
      <c r="AG5" s="226"/>
      <c r="AH5" s="226"/>
      <c r="AI5" s="226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6"/>
      <c r="BA5" s="228"/>
      <c r="BB5" s="228"/>
      <c r="BC5" s="228"/>
      <c r="BD5" s="226"/>
      <c r="BE5" s="226"/>
      <c r="BF5" s="226"/>
      <c r="BG5" s="226"/>
      <c r="BH5" s="226"/>
      <c r="BI5" s="226"/>
      <c r="BJ5" s="226"/>
      <c r="BK5" s="228"/>
      <c r="BL5" s="226"/>
      <c r="BM5" s="228"/>
      <c r="BN5" s="226"/>
      <c r="BO5" s="226"/>
      <c r="CC5" s="230"/>
      <c r="CD5" s="226"/>
      <c r="CE5" s="226"/>
      <c r="CF5" s="226"/>
      <c r="CG5" s="226"/>
      <c r="CH5" s="226"/>
      <c r="CI5" s="226"/>
      <c r="CJ5" s="226"/>
      <c r="CK5" s="226"/>
      <c r="CL5" s="226"/>
      <c r="CM5" s="226"/>
      <c r="CN5" s="226"/>
    </row>
    <row r="6" spans="1:94" ht="24.75" customHeight="1" thickBot="1" x14ac:dyDescent="0.45">
      <c r="A6" s="232"/>
      <c r="B6" s="233"/>
      <c r="C6" s="362"/>
      <c r="D6" s="362"/>
      <c r="E6" s="362"/>
      <c r="F6" s="362"/>
      <c r="G6" s="362"/>
      <c r="H6" s="362"/>
      <c r="I6" s="362"/>
      <c r="J6" s="362"/>
      <c r="K6" s="362"/>
      <c r="L6" s="362"/>
      <c r="M6" s="363"/>
      <c r="N6" s="364" t="s">
        <v>128</v>
      </c>
      <c r="O6" s="365"/>
      <c r="P6" s="365"/>
      <c r="Q6" s="365"/>
      <c r="R6" s="365"/>
      <c r="S6" s="365"/>
      <c r="T6" s="365"/>
      <c r="U6" s="365"/>
      <c r="V6" s="366"/>
      <c r="W6" s="367" t="s">
        <v>129</v>
      </c>
      <c r="X6" s="368"/>
      <c r="Y6" s="368"/>
      <c r="Z6" s="369"/>
      <c r="AA6" s="234"/>
      <c r="AB6" s="370" t="s">
        <v>130</v>
      </c>
      <c r="AC6" s="371"/>
      <c r="AD6" s="371"/>
      <c r="AE6" s="372"/>
      <c r="AF6" s="235"/>
      <c r="AG6" s="373"/>
      <c r="AH6" s="373"/>
      <c r="AI6" s="374"/>
      <c r="AJ6" s="358" t="s">
        <v>131</v>
      </c>
      <c r="AK6" s="359"/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  <c r="AW6" s="359"/>
      <c r="AX6" s="359"/>
      <c r="AY6" s="359"/>
      <c r="AZ6" s="360"/>
      <c r="BA6" s="359"/>
      <c r="BB6" s="359"/>
      <c r="BC6" s="359"/>
      <c r="BD6" s="359"/>
      <c r="BE6" s="359"/>
      <c r="BF6" s="359"/>
      <c r="BG6" s="359"/>
      <c r="BH6" s="359"/>
      <c r="BI6" s="359"/>
      <c r="BJ6" s="359"/>
      <c r="BK6" s="359"/>
      <c r="BL6" s="359"/>
      <c r="BM6" s="359"/>
      <c r="BN6" s="359"/>
      <c r="BO6" s="361"/>
      <c r="CC6" s="236"/>
      <c r="CD6" s="232"/>
      <c r="CE6" s="232"/>
      <c r="CF6" s="232"/>
      <c r="CG6" s="232"/>
      <c r="CH6" s="232"/>
      <c r="CI6" s="232"/>
      <c r="CJ6" s="232"/>
      <c r="CK6" s="232"/>
      <c r="CL6" s="232"/>
      <c r="CM6" s="232"/>
      <c r="CN6" s="232"/>
    </row>
    <row r="7" spans="1:94" ht="53.25" customHeight="1" x14ac:dyDescent="0.25">
      <c r="A7" s="237"/>
      <c r="B7" s="310" t="s">
        <v>298</v>
      </c>
      <c r="C7" s="238" t="s">
        <v>300</v>
      </c>
      <c r="D7" s="238" t="s">
        <v>133</v>
      </c>
      <c r="E7" s="238" t="s">
        <v>134</v>
      </c>
      <c r="F7" s="238" t="s">
        <v>135</v>
      </c>
      <c r="G7" s="238" t="s">
        <v>136</v>
      </c>
      <c r="H7" s="238" t="s">
        <v>137</v>
      </c>
      <c r="I7" s="238" t="s">
        <v>138</v>
      </c>
      <c r="J7" s="238" t="s">
        <v>76</v>
      </c>
      <c r="K7" s="238" t="s">
        <v>139</v>
      </c>
      <c r="L7" s="239" t="s">
        <v>140</v>
      </c>
      <c r="M7" s="238" t="s">
        <v>141</v>
      </c>
      <c r="N7" s="240" t="s">
        <v>80</v>
      </c>
      <c r="O7" s="241" t="s">
        <v>142</v>
      </c>
      <c r="P7" s="238" t="s">
        <v>143</v>
      </c>
      <c r="Q7" s="238" t="s">
        <v>144</v>
      </c>
      <c r="R7" s="238" t="s">
        <v>145</v>
      </c>
      <c r="S7" s="238" t="s">
        <v>146</v>
      </c>
      <c r="T7" s="238" t="s">
        <v>147</v>
      </c>
      <c r="U7" s="239" t="s">
        <v>148</v>
      </c>
      <c r="V7" s="239" t="s">
        <v>149</v>
      </c>
      <c r="W7" s="239" t="s">
        <v>150</v>
      </c>
      <c r="X7" s="238" t="s">
        <v>151</v>
      </c>
      <c r="Y7" s="242" t="s">
        <v>265</v>
      </c>
      <c r="Z7" s="243" t="s">
        <v>153</v>
      </c>
      <c r="AA7" s="242" t="s">
        <v>154</v>
      </c>
      <c r="AB7" s="244" t="s">
        <v>155</v>
      </c>
      <c r="AC7" s="244" t="s">
        <v>156</v>
      </c>
      <c r="AD7" s="238" t="s">
        <v>157</v>
      </c>
      <c r="AE7" s="238" t="s">
        <v>97</v>
      </c>
      <c r="AF7" s="245" t="s">
        <v>98</v>
      </c>
      <c r="AG7" s="241" t="s">
        <v>99</v>
      </c>
      <c r="AH7" s="241" t="s">
        <v>100</v>
      </c>
      <c r="AI7" s="238" t="s">
        <v>158</v>
      </c>
      <c r="AJ7" s="246" t="s">
        <v>159</v>
      </c>
      <c r="AK7" s="246" t="s">
        <v>160</v>
      </c>
      <c r="AL7" s="246" t="s">
        <v>161</v>
      </c>
      <c r="AM7" s="246" t="s">
        <v>162</v>
      </c>
      <c r="AN7" s="246" t="s">
        <v>163</v>
      </c>
      <c r="AO7" s="246" t="s">
        <v>164</v>
      </c>
      <c r="AP7" s="246" t="s">
        <v>108</v>
      </c>
      <c r="AQ7" s="246" t="s">
        <v>109</v>
      </c>
      <c r="AR7" s="246" t="s">
        <v>110</v>
      </c>
      <c r="AS7" s="242" t="s">
        <v>165</v>
      </c>
      <c r="AT7" s="242" t="s">
        <v>166</v>
      </c>
      <c r="AU7" s="246" t="s">
        <v>167</v>
      </c>
      <c r="AV7" s="246" t="s">
        <v>267</v>
      </c>
      <c r="AW7" s="246" t="s">
        <v>168</v>
      </c>
      <c r="AX7" s="242" t="s">
        <v>169</v>
      </c>
      <c r="AY7" s="242" t="s">
        <v>170</v>
      </c>
      <c r="AZ7" s="242" t="s">
        <v>171</v>
      </c>
      <c r="BA7" s="242" t="s">
        <v>172</v>
      </c>
      <c r="BB7" s="242" t="s">
        <v>173</v>
      </c>
      <c r="BC7" s="242" t="s">
        <v>174</v>
      </c>
      <c r="BD7" s="238" t="s">
        <v>121</v>
      </c>
      <c r="BE7" s="238" t="s">
        <v>175</v>
      </c>
      <c r="BF7" s="238" t="s">
        <v>176</v>
      </c>
      <c r="BG7" s="238" t="s">
        <v>177</v>
      </c>
      <c r="BH7" s="247" t="s">
        <v>125</v>
      </c>
      <c r="BI7" s="238" t="s">
        <v>178</v>
      </c>
      <c r="BJ7" s="248" t="s">
        <v>179</v>
      </c>
      <c r="BK7" s="249" t="s">
        <v>180</v>
      </c>
      <c r="BL7" s="250" t="s">
        <v>181</v>
      </c>
      <c r="BM7" s="249" t="s">
        <v>182</v>
      </c>
      <c r="BN7" s="251" t="s">
        <v>183</v>
      </c>
      <c r="BO7" s="238" t="s">
        <v>184</v>
      </c>
      <c r="BP7" s="252"/>
      <c r="BQ7" s="252"/>
      <c r="BR7" s="252"/>
      <c r="BS7" s="252"/>
      <c r="BT7" s="252"/>
      <c r="BU7" s="252"/>
      <c r="BV7" s="252"/>
      <c r="BW7" s="252"/>
      <c r="BX7" s="252"/>
      <c r="BY7" s="252"/>
      <c r="BZ7" s="252"/>
      <c r="CA7" s="252"/>
      <c r="CB7" s="252"/>
      <c r="CC7" s="253"/>
      <c r="CD7" s="237" t="s">
        <v>185</v>
      </c>
      <c r="CE7" s="237" t="s">
        <v>186</v>
      </c>
      <c r="CF7" s="237" t="s">
        <v>187</v>
      </c>
      <c r="CG7" s="237" t="s">
        <v>188</v>
      </c>
      <c r="CH7" s="254" t="s">
        <v>189</v>
      </c>
      <c r="CI7" s="254" t="s">
        <v>190</v>
      </c>
      <c r="CJ7" s="254" t="s">
        <v>191</v>
      </c>
      <c r="CK7" s="254" t="s">
        <v>192</v>
      </c>
      <c r="CL7" s="254" t="s">
        <v>193</v>
      </c>
      <c r="CM7" s="254" t="s">
        <v>194</v>
      </c>
      <c r="CN7" s="237" t="s">
        <v>195</v>
      </c>
      <c r="CO7" s="255" t="s">
        <v>196</v>
      </c>
      <c r="CP7" s="255" t="s">
        <v>197</v>
      </c>
    </row>
  </sheetData>
  <mergeCells count="6">
    <mergeCell ref="AJ6:BO6"/>
    <mergeCell ref="C6:M6"/>
    <mergeCell ref="N6:V6"/>
    <mergeCell ref="W6:Z6"/>
    <mergeCell ref="AB6:AE6"/>
    <mergeCell ref="AG6:A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C1"/>
  <sheetViews>
    <sheetView topLeftCell="BO1" workbookViewId="0">
      <selection activeCell="BR35" sqref="BR35"/>
    </sheetView>
  </sheetViews>
  <sheetFormatPr defaultRowHeight="15" x14ac:dyDescent="0.25"/>
  <cols>
    <col min="1" max="1" width="15.7109375" style="208" bestFit="1" customWidth="1"/>
    <col min="2" max="2" width="15.7109375" style="208" customWidth="1"/>
    <col min="4" max="4" width="18.5703125" bestFit="1" customWidth="1"/>
    <col min="6" max="6" width="17.7109375" bestFit="1" customWidth="1"/>
    <col min="54" max="54" width="30" customWidth="1"/>
    <col min="55" max="55" width="30.5703125" customWidth="1"/>
    <col min="56" max="56" width="42" customWidth="1"/>
    <col min="58" max="59" width="38.140625" bestFit="1" customWidth="1"/>
    <col min="60" max="60" width="25.7109375" customWidth="1"/>
    <col min="64" max="65" width="10.140625" bestFit="1" customWidth="1"/>
    <col min="69" max="69" width="11" bestFit="1" customWidth="1"/>
    <col min="81" max="81" width="10.7109375" style="20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FFFF00"/>
  </sheetPr>
  <dimension ref="A1:F20"/>
  <sheetViews>
    <sheetView workbookViewId="0">
      <selection activeCell="F1" sqref="F1"/>
    </sheetView>
  </sheetViews>
  <sheetFormatPr defaultRowHeight="15" x14ac:dyDescent="0.25"/>
  <cols>
    <col min="2" max="2" width="26.42578125" style="308" bestFit="1" customWidth="1"/>
    <col min="3" max="3" width="14.140625" customWidth="1"/>
    <col min="4" max="4" width="16.85546875" bestFit="1" customWidth="1"/>
    <col min="5" max="5" width="9.42578125" customWidth="1"/>
    <col min="6" max="6" width="9.140625" customWidth="1"/>
  </cols>
  <sheetData>
    <row r="1" spans="1:6" s="270" customFormat="1" x14ac:dyDescent="0.25">
      <c r="A1" t="s">
        <v>280</v>
      </c>
      <c r="B1" s="308" t="s">
        <v>281</v>
      </c>
      <c r="C1" t="s">
        <v>282</v>
      </c>
      <c r="D1" t="s">
        <v>283</v>
      </c>
      <c r="E1" t="s">
        <v>284</v>
      </c>
      <c r="F1" s="269"/>
    </row>
    <row r="2" spans="1:6" s="270" customFormat="1" ht="13.5" customHeight="1" x14ac:dyDescent="0.2">
      <c r="A2" s="270" t="s">
        <v>285</v>
      </c>
      <c r="C2" s="270" t="s">
        <v>297</v>
      </c>
      <c r="D2" s="270" t="s">
        <v>297</v>
      </c>
      <c r="E2" s="270" t="s">
        <v>297</v>
      </c>
    </row>
    <row r="3" spans="1:6" s="270" customFormat="1" ht="12.75" x14ac:dyDescent="0.2">
      <c r="A3" s="270">
        <v>44</v>
      </c>
      <c r="B3" s="309" t="s">
        <v>286</v>
      </c>
    </row>
    <row r="4" spans="1:6" s="270" customFormat="1" ht="12.75" x14ac:dyDescent="0.2">
      <c r="A4" s="307">
        <v>45</v>
      </c>
      <c r="B4" s="309" t="s">
        <v>287</v>
      </c>
    </row>
    <row r="5" spans="1:6" s="270" customFormat="1" ht="12.75" x14ac:dyDescent="0.2">
      <c r="A5" s="307">
        <v>46</v>
      </c>
      <c r="B5" s="309" t="s">
        <v>288</v>
      </c>
    </row>
    <row r="6" spans="1:6" s="270" customFormat="1" ht="12.75" x14ac:dyDescent="0.2">
      <c r="A6" s="307">
        <v>47</v>
      </c>
      <c r="B6" s="309" t="s">
        <v>289</v>
      </c>
    </row>
    <row r="7" spans="1:6" s="270" customFormat="1" ht="12.75" x14ac:dyDescent="0.2">
      <c r="A7" s="307">
        <v>48</v>
      </c>
      <c r="B7" s="309" t="s">
        <v>290</v>
      </c>
    </row>
    <row r="8" spans="1:6" s="270" customFormat="1" ht="12.75" x14ac:dyDescent="0.2">
      <c r="A8" s="307">
        <v>49</v>
      </c>
      <c r="B8" s="309" t="s">
        <v>291</v>
      </c>
    </row>
    <row r="9" spans="1:6" s="270" customFormat="1" ht="12.75" x14ac:dyDescent="0.2">
      <c r="A9" s="307">
        <v>75</v>
      </c>
      <c r="B9" s="309" t="s">
        <v>292</v>
      </c>
    </row>
    <row r="10" spans="1:6" s="270" customFormat="1" ht="12.75" x14ac:dyDescent="0.2">
      <c r="A10" s="307">
        <v>76</v>
      </c>
      <c r="B10" s="309" t="s">
        <v>293</v>
      </c>
    </row>
    <row r="11" spans="1:6" s="270" customFormat="1" ht="12.75" x14ac:dyDescent="0.2">
      <c r="A11" s="307">
        <v>77</v>
      </c>
      <c r="B11" s="309" t="s">
        <v>294</v>
      </c>
    </row>
    <row r="12" spans="1:6" s="270" customFormat="1" ht="12.75" x14ac:dyDescent="0.2">
      <c r="A12" s="307">
        <v>78</v>
      </c>
      <c r="B12" s="309" t="s">
        <v>295</v>
      </c>
    </row>
    <row r="13" spans="1:6" s="270" customFormat="1" ht="12.75" x14ac:dyDescent="0.2">
      <c r="A13" s="307">
        <v>79</v>
      </c>
      <c r="B13" s="309" t="s">
        <v>296</v>
      </c>
    </row>
    <row r="14" spans="1:6" s="270" customFormat="1" ht="12.75" x14ac:dyDescent="0.2">
      <c r="B14" s="307"/>
    </row>
    <row r="15" spans="1:6" s="270" customFormat="1" x14ac:dyDescent="0.25">
      <c r="B15" s="307"/>
      <c r="C15"/>
      <c r="D15"/>
      <c r="E15"/>
      <c r="F15"/>
    </row>
    <row r="16" spans="1:6" s="270" customFormat="1" x14ac:dyDescent="0.25">
      <c r="B16" s="307"/>
      <c r="C16"/>
      <c r="D16"/>
      <c r="E16"/>
      <c r="F16"/>
    </row>
    <row r="17" spans="2:6" s="270" customFormat="1" x14ac:dyDescent="0.25">
      <c r="B17" s="307"/>
      <c r="C17"/>
      <c r="D17"/>
      <c r="E17"/>
      <c r="F17"/>
    </row>
    <row r="18" spans="2:6" s="270" customFormat="1" x14ac:dyDescent="0.25">
      <c r="B18" s="307"/>
      <c r="C18"/>
      <c r="D18"/>
      <c r="E18"/>
      <c r="F18"/>
    </row>
    <row r="19" spans="2:6" s="270" customFormat="1" x14ac:dyDescent="0.25">
      <c r="B19" s="307"/>
      <c r="C19"/>
      <c r="D19"/>
      <c r="E19"/>
      <c r="F19"/>
    </row>
    <row r="20" spans="2:6" s="270" customFormat="1" ht="12.75" x14ac:dyDescent="0.2">
      <c r="B20" s="30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S2"/>
  <sheetViews>
    <sheetView tabSelected="1" topLeftCell="AA1" workbookViewId="0">
      <selection activeCell="AR1" sqref="AR1"/>
    </sheetView>
  </sheetViews>
  <sheetFormatPr defaultRowHeight="15" x14ac:dyDescent="0.25"/>
  <cols>
    <col min="11" max="11" width="25" bestFit="1" customWidth="1"/>
    <col min="12" max="12" width="22.5703125" bestFit="1" customWidth="1"/>
    <col min="17" max="18" width="9.140625" style="210"/>
    <col min="24" max="24" width="25.140625" bestFit="1" customWidth="1"/>
    <col min="26" max="26" width="39.85546875" bestFit="1" customWidth="1"/>
    <col min="27" max="27" width="39.85546875" customWidth="1"/>
    <col min="31" max="31" width="38.42578125" bestFit="1" customWidth="1"/>
    <col min="39" max="39" width="27.42578125" bestFit="1" customWidth="1"/>
    <col min="42" max="42" width="15.5703125" style="206" customWidth="1"/>
    <col min="43" max="43" width="9.140625" style="206"/>
    <col min="44" max="45" width="9.140625" style="295"/>
  </cols>
  <sheetData>
    <row r="1" spans="1:45" x14ac:dyDescent="0.25">
      <c r="A1" s="256" t="s">
        <v>268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7"/>
      <c r="M1" s="256"/>
      <c r="N1" s="256"/>
      <c r="O1" s="256"/>
      <c r="P1" s="256"/>
      <c r="Q1" s="258"/>
      <c r="R1" s="258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  <c r="AP1" s="291"/>
      <c r="AQ1" s="292"/>
      <c r="AR1" s="259" t="str">
        <f>IFERROR(IF(AP1&lt;&gt;"","Merchants",IF(AF1&lt;&gt;"","Merchants",IF(AND(AB1="N",AE1="Turn In Task Complete"),"Image Edit",IF(AB1="Y","Item Setup",IFERROR(VLOOKUP(AE1,Info!$P:$Q,2,FALSE),"Sample Management"))))),"-")</f>
        <v>Sample Management</v>
      </c>
      <c r="AS1" s="260" t="e">
        <f>1/COUNTIF(C:C,C1)</f>
        <v>#DIV/0!</v>
      </c>
    </row>
    <row r="2" spans="1:45" ht="15" customHeight="1" x14ac:dyDescent="0.25">
      <c r="A2" s="261" t="s">
        <v>198</v>
      </c>
      <c r="B2" s="261" t="s">
        <v>30</v>
      </c>
      <c r="C2" s="262" t="s">
        <v>199</v>
      </c>
      <c r="D2" s="261" t="s">
        <v>200</v>
      </c>
      <c r="E2" s="261" t="s">
        <v>201</v>
      </c>
      <c r="F2" s="262" t="s">
        <v>202</v>
      </c>
      <c r="G2" s="263" t="s">
        <v>203</v>
      </c>
      <c r="H2" s="263" t="s">
        <v>83</v>
      </c>
      <c r="I2" s="261" t="s">
        <v>204</v>
      </c>
      <c r="J2" s="261" t="s">
        <v>205</v>
      </c>
      <c r="K2" s="264" t="s">
        <v>206</v>
      </c>
      <c r="L2" s="265" t="s">
        <v>207</v>
      </c>
      <c r="M2" s="262" t="s">
        <v>208</v>
      </c>
      <c r="N2" s="266" t="s">
        <v>209</v>
      </c>
      <c r="O2" s="262" t="s">
        <v>210</v>
      </c>
      <c r="P2" s="262" t="s">
        <v>211</v>
      </c>
      <c r="Q2" s="267" t="s">
        <v>212</v>
      </c>
      <c r="R2" s="267" t="s">
        <v>213</v>
      </c>
      <c r="S2" s="261" t="s">
        <v>158</v>
      </c>
      <c r="T2" s="261" t="s">
        <v>214</v>
      </c>
      <c r="U2" s="261" t="s">
        <v>215</v>
      </c>
      <c r="V2" s="261" t="s">
        <v>133</v>
      </c>
      <c r="W2" s="261" t="s">
        <v>216</v>
      </c>
      <c r="X2" s="261" t="s">
        <v>217</v>
      </c>
      <c r="Y2" s="261" t="s">
        <v>218</v>
      </c>
      <c r="Z2" s="261" t="s">
        <v>219</v>
      </c>
      <c r="AA2" s="261" t="s">
        <v>220</v>
      </c>
      <c r="AB2" s="261" t="s">
        <v>221</v>
      </c>
      <c r="AC2" s="261" t="s">
        <v>222</v>
      </c>
      <c r="AD2" s="261" t="s">
        <v>223</v>
      </c>
      <c r="AE2" s="261" t="s">
        <v>224</v>
      </c>
      <c r="AF2" s="261" t="s">
        <v>271</v>
      </c>
      <c r="AG2" s="261" t="s">
        <v>225</v>
      </c>
      <c r="AH2" s="268" t="s">
        <v>102</v>
      </c>
      <c r="AI2" s="268" t="s">
        <v>226</v>
      </c>
      <c r="AJ2" s="268" t="s">
        <v>227</v>
      </c>
      <c r="AK2" s="268" t="s">
        <v>228</v>
      </c>
      <c r="AL2" s="268" t="s">
        <v>116</v>
      </c>
      <c r="AM2" s="268" t="s">
        <v>229</v>
      </c>
      <c r="AN2" s="261" t="s">
        <v>230</v>
      </c>
      <c r="AO2" s="268" t="s">
        <v>272</v>
      </c>
      <c r="AP2" s="293" t="s">
        <v>124</v>
      </c>
      <c r="AQ2" s="294" t="s">
        <v>231</v>
      </c>
      <c r="AR2" s="294" t="s">
        <v>232</v>
      </c>
      <c r="AS2" s="294" t="s">
        <v>233</v>
      </c>
    </row>
  </sheetData>
  <autoFilter ref="A2:AQ2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-0.249977111117893"/>
    <pageSetUpPr fitToPage="1"/>
  </sheetPr>
  <dimension ref="A1:X94"/>
  <sheetViews>
    <sheetView showGridLines="0" view="pageBreakPreview" topLeftCell="C1" zoomScale="90" zoomScaleNormal="100" zoomScaleSheetLayoutView="90" zoomScalePageLayoutView="40" workbookViewId="0">
      <selection activeCell="K21" sqref="K21"/>
    </sheetView>
  </sheetViews>
  <sheetFormatPr defaultColWidth="9.140625" defaultRowHeight="12.75" x14ac:dyDescent="0.2"/>
  <cols>
    <col min="1" max="1" width="34.7109375" style="139" hidden="1" customWidth="1"/>
    <col min="2" max="2" width="12.140625" style="138" hidden="1" customWidth="1"/>
    <col min="3" max="3" width="32.5703125" style="139" customWidth="1"/>
    <col min="4" max="4" width="16.5703125" style="139" customWidth="1"/>
    <col min="5" max="5" width="28.85546875" style="139" customWidth="1"/>
    <col min="6" max="6" width="15.85546875" style="139" customWidth="1"/>
    <col min="7" max="7" width="12.28515625" style="139" customWidth="1"/>
    <col min="8" max="8" width="11.85546875" style="139" customWidth="1"/>
    <col min="9" max="9" width="13.28515625" style="139" bestFit="1" customWidth="1"/>
    <col min="10" max="10" width="10.140625" style="139" bestFit="1" customWidth="1"/>
    <col min="11" max="11" width="13.140625" style="139" customWidth="1"/>
    <col min="12" max="12" width="13.140625" style="139" bestFit="1" customWidth="1"/>
    <col min="13" max="13" width="7.85546875" style="139" customWidth="1"/>
    <col min="14" max="14" width="14.5703125" style="139" customWidth="1"/>
    <col min="15" max="15" width="7.7109375" style="139" bestFit="1" customWidth="1"/>
    <col min="16" max="17" width="10.7109375" style="139" bestFit="1" customWidth="1"/>
    <col min="18" max="16384" width="9.140625" style="139"/>
  </cols>
  <sheetData>
    <row r="1" spans="2:24" s="138" customFormat="1" x14ac:dyDescent="0.2"/>
    <row r="2" spans="2:24" x14ac:dyDescent="0.2"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2:24" ht="18.75" thickBot="1" x14ac:dyDescent="0.25">
      <c r="C3" s="391" t="s">
        <v>50</v>
      </c>
      <c r="D3" s="391"/>
      <c r="E3" s="391"/>
      <c r="F3" s="391"/>
      <c r="G3" s="391"/>
      <c r="H3" s="391"/>
      <c r="I3" s="391"/>
      <c r="J3" s="391"/>
      <c r="K3" s="391"/>
      <c r="L3" s="391"/>
      <c r="M3" s="138"/>
    </row>
    <row r="4" spans="2:24" ht="12.75" customHeight="1" x14ac:dyDescent="0.2">
      <c r="C4" s="392" t="s">
        <v>51</v>
      </c>
      <c r="D4" s="392" t="s">
        <v>6</v>
      </c>
      <c r="E4" s="395"/>
      <c r="F4" s="396"/>
      <c r="G4" s="399" t="s">
        <v>52</v>
      </c>
      <c r="H4" s="400"/>
      <c r="I4" s="400"/>
      <c r="J4" s="401"/>
      <c r="K4" s="399" t="s">
        <v>8</v>
      </c>
      <c r="L4" s="401"/>
      <c r="M4" s="138"/>
    </row>
    <row r="5" spans="2:24" ht="13.5" thickBot="1" x14ac:dyDescent="0.25">
      <c r="C5" s="393"/>
      <c r="D5" s="394"/>
      <c r="E5" s="397"/>
      <c r="F5" s="398"/>
      <c r="G5" s="402"/>
      <c r="H5" s="403"/>
      <c r="I5" s="403"/>
      <c r="J5" s="404"/>
      <c r="K5" s="402"/>
      <c r="L5" s="404"/>
      <c r="M5" s="140"/>
    </row>
    <row r="6" spans="2:24" ht="27.75" customHeight="1" thickBot="1" x14ac:dyDescent="0.3">
      <c r="B6"/>
      <c r="C6" s="394"/>
      <c r="D6" s="141" t="s">
        <v>53</v>
      </c>
      <c r="E6" s="142" t="s">
        <v>33</v>
      </c>
      <c r="F6" s="143" t="s">
        <v>54</v>
      </c>
      <c r="G6" s="141" t="s">
        <v>55</v>
      </c>
      <c r="H6" s="144" t="s">
        <v>56</v>
      </c>
      <c r="I6" s="145" t="s">
        <v>33</v>
      </c>
      <c r="J6" s="146" t="s">
        <v>54</v>
      </c>
      <c r="K6" s="147" t="s">
        <v>33</v>
      </c>
      <c r="L6" s="148" t="s">
        <v>54</v>
      </c>
      <c r="M6" s="140"/>
    </row>
    <row r="7" spans="2:24" ht="15.75" customHeight="1" x14ac:dyDescent="0.25">
      <c r="B7" t="s">
        <v>57</v>
      </c>
      <c r="C7" s="149" t="s">
        <v>57</v>
      </c>
      <c r="D7" s="150">
        <f>'Daily Dash'!AA25</f>
        <v>0</v>
      </c>
      <c r="E7" s="151">
        <f>'Daily Dash'!AB25</f>
        <v>0</v>
      </c>
      <c r="F7" s="152" t="e">
        <f t="shared" ref="F7:F13" si="0">E7/E$13</f>
        <v>#DIV/0!</v>
      </c>
      <c r="G7" s="150">
        <f>COUNTIFS(UPCS!$N:$N,{"&gt;0"},UPCS!$AR:$AR,"Merchants")</f>
        <v>0</v>
      </c>
      <c r="H7" s="150">
        <f>SUMIFS(UPCS!$AS:$AS,UPCS!$N:$N,{"&gt;0"},UPCS!$AR:$AR,"Merchants")</f>
        <v>0</v>
      </c>
      <c r="I7" s="153">
        <f>SUMIFS(UPCS!$R:$R,UPCS!$N:$N,"&gt;0",UPCS!$AR:$AR,"Merchants")</f>
        <v>0</v>
      </c>
      <c r="J7" s="154" t="str">
        <f t="shared" ref="J7:J13" si="1">IFERROR(I7/I$13,"-")</f>
        <v>-</v>
      </c>
      <c r="K7" s="153">
        <f>E7+I7</f>
        <v>0</v>
      </c>
      <c r="L7" s="154" t="str">
        <f t="shared" ref="L7:L13" si="2">IFERROR(K7/$K$13,"-")</f>
        <v>-</v>
      </c>
      <c r="M7" s="138"/>
      <c r="N7"/>
      <c r="O7"/>
      <c r="P7"/>
      <c r="Q7"/>
      <c r="R7"/>
      <c r="S7"/>
      <c r="T7"/>
      <c r="U7"/>
      <c r="V7"/>
      <c r="W7"/>
      <c r="X7"/>
    </row>
    <row r="8" spans="2:24" ht="15.75" customHeight="1" x14ac:dyDescent="0.25">
      <c r="B8" t="s">
        <v>59</v>
      </c>
      <c r="C8" s="159" t="s">
        <v>59</v>
      </c>
      <c r="D8" s="160">
        <f>'Daily Dash'!AM25</f>
        <v>0</v>
      </c>
      <c r="E8" s="161">
        <f>'Daily Dash'!AN25</f>
        <v>0</v>
      </c>
      <c r="F8" s="155" t="e">
        <f t="shared" si="0"/>
        <v>#DIV/0!</v>
      </c>
      <c r="G8" s="162">
        <f>COUNTIFS(UPCS!$N:$N,{"&gt;0"},UPCS!$AR:$AR,"Sample Management")</f>
        <v>0</v>
      </c>
      <c r="H8" s="162">
        <f>SUMIFS(UPCS!$AS:$AS,UPCS!$N:$N,{"&gt;0"},UPCS!$AR:$AR,"Sample Management")</f>
        <v>0</v>
      </c>
      <c r="I8" s="156">
        <f>SUMIFS(UPCS!$R:$R,UPCS!$N:$N,"&gt;0",UPCS!$AR:$AR,"Sample Management")</f>
        <v>0</v>
      </c>
      <c r="J8" s="157" t="str">
        <f t="shared" si="1"/>
        <v>-</v>
      </c>
      <c r="K8" s="156">
        <f t="shared" ref="K8:K12" si="3">E8+I8</f>
        <v>0</v>
      </c>
      <c r="L8" s="157" t="str">
        <f t="shared" si="2"/>
        <v>-</v>
      </c>
      <c r="M8" s="13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</row>
    <row r="9" spans="2:24" ht="15.75" customHeight="1" x14ac:dyDescent="0.25">
      <c r="B9" t="s">
        <v>60</v>
      </c>
      <c r="C9" s="163" t="s">
        <v>60</v>
      </c>
      <c r="D9" s="164">
        <f>'Daily Dash'!AP25</f>
        <v>0</v>
      </c>
      <c r="E9" s="165">
        <f>'Daily Dash'!AQ25</f>
        <v>0</v>
      </c>
      <c r="F9" s="166" t="e">
        <f t="shared" si="0"/>
        <v>#DIV/0!</v>
      </c>
      <c r="G9" s="167" t="s">
        <v>58</v>
      </c>
      <c r="H9" s="167" t="s">
        <v>58</v>
      </c>
      <c r="I9" s="168">
        <f>SUMIFS(UPCS!$R$3:R100028,UPCS!$AR$3:AR100028,$B9)</f>
        <v>0</v>
      </c>
      <c r="J9" s="169" t="str">
        <f t="shared" si="1"/>
        <v>-</v>
      </c>
      <c r="K9" s="168">
        <f t="shared" si="3"/>
        <v>0</v>
      </c>
      <c r="L9" s="169" t="str">
        <f t="shared" si="2"/>
        <v>-</v>
      </c>
      <c r="M9" s="13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</row>
    <row r="10" spans="2:24" ht="15.75" customHeight="1" x14ac:dyDescent="0.25">
      <c r="B10" t="s">
        <v>61</v>
      </c>
      <c r="C10" s="170" t="s">
        <v>61</v>
      </c>
      <c r="D10" s="171">
        <f>'Daily Dash'!AS25</f>
        <v>0</v>
      </c>
      <c r="E10" s="172">
        <f>'Daily Dash'!AT25</f>
        <v>0</v>
      </c>
      <c r="F10" s="173" t="e">
        <f t="shared" si="0"/>
        <v>#DIV/0!</v>
      </c>
      <c r="G10" s="171">
        <f>COUNTIFS(UPCS!$N:$N,{"&gt;0"},UPCS!$AR:$AR,"Image Edit")</f>
        <v>0</v>
      </c>
      <c r="H10" s="171">
        <f>SUMIFS(UPCS!$AS:$AS,UPCS!$N:$N,{"&gt;0"},UPCS!$AR:$AR,"Image Edit")</f>
        <v>0</v>
      </c>
      <c r="I10" s="174">
        <f>SUMIFS(UPCS!$R:$R,UPCS!$N:$N,"&gt;0",UPCS!$AR:$AR,"Image Edit")</f>
        <v>0</v>
      </c>
      <c r="J10" s="175" t="str">
        <f t="shared" si="1"/>
        <v>-</v>
      </c>
      <c r="K10" s="174">
        <f t="shared" si="3"/>
        <v>0</v>
      </c>
      <c r="L10" s="175" t="str">
        <f t="shared" si="2"/>
        <v>-</v>
      </c>
      <c r="M10" s="13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</row>
    <row r="11" spans="2:24" ht="15.75" customHeight="1" x14ac:dyDescent="0.25">
      <c r="B11" t="s">
        <v>62</v>
      </c>
      <c r="C11" s="176" t="s">
        <v>62</v>
      </c>
      <c r="D11" s="177">
        <f>'Daily Dash'!AV25</f>
        <v>0</v>
      </c>
      <c r="E11" s="178">
        <f>'Daily Dash'!AW25</f>
        <v>0</v>
      </c>
      <c r="F11" s="179" t="e">
        <f t="shared" si="0"/>
        <v>#DIV/0!</v>
      </c>
      <c r="G11" s="180" t="s">
        <v>58</v>
      </c>
      <c r="H11" s="180" t="s">
        <v>58</v>
      </c>
      <c r="I11" s="181">
        <f>SUMIFS(UPCS!$R$3:R100030,UPCS!$AR$3:AR100030,$B11)</f>
        <v>0</v>
      </c>
      <c r="J11" s="182" t="str">
        <f t="shared" si="1"/>
        <v>-</v>
      </c>
      <c r="K11" s="181">
        <f t="shared" si="3"/>
        <v>0</v>
      </c>
      <c r="L11" s="182" t="str">
        <f t="shared" si="2"/>
        <v>-</v>
      </c>
      <c r="M11" s="13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</row>
    <row r="12" spans="2:24" ht="15.75" customHeight="1" x14ac:dyDescent="0.25">
      <c r="B12" t="s">
        <v>63</v>
      </c>
      <c r="C12" s="183" t="s">
        <v>63</v>
      </c>
      <c r="D12" s="184">
        <f>'Daily Dash'!BH25</f>
        <v>0</v>
      </c>
      <c r="E12" s="185">
        <f>'Daily Dash'!BI25</f>
        <v>0</v>
      </c>
      <c r="F12" s="179" t="e">
        <f t="shared" si="0"/>
        <v>#DIV/0!</v>
      </c>
      <c r="G12" s="184">
        <f>COUNTIFS(UPCS!$N:$N,{"&gt;0"},UPCS!$AR:$AR,"Item Setup")</f>
        <v>0</v>
      </c>
      <c r="H12" s="184">
        <f>SUMIFS(UPCS!$AS:$AS,UPCS!$N:$N,{"&gt;0"},UPCS!$AR:$AR,"Item Setup")</f>
        <v>0</v>
      </c>
      <c r="I12" s="186">
        <f>SUMIFS(UPCS!$R:$R,UPCS!$N:$N,"&gt;0",UPCS!$AR:$AR,"Item Setup")</f>
        <v>0</v>
      </c>
      <c r="J12" s="182" t="str">
        <f t="shared" si="1"/>
        <v>-</v>
      </c>
      <c r="K12" s="186">
        <f t="shared" si="3"/>
        <v>0</v>
      </c>
      <c r="L12" s="182" t="str">
        <f t="shared" si="2"/>
        <v>-</v>
      </c>
      <c r="M12" s="13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</row>
    <row r="13" spans="2:24" ht="15.75" customHeight="1" thickBot="1" x14ac:dyDescent="0.3">
      <c r="B13"/>
      <c r="C13" s="187" t="s">
        <v>2</v>
      </c>
      <c r="D13" s="188">
        <f>'Daily Dash'!O25</f>
        <v>0</v>
      </c>
      <c r="E13" s="189">
        <f>'Daily Dash'!P25</f>
        <v>0</v>
      </c>
      <c r="F13" s="190" t="e">
        <f t="shared" si="0"/>
        <v>#DIV/0!</v>
      </c>
      <c r="G13" s="188">
        <f>SUM(G7:G12)</f>
        <v>0</v>
      </c>
      <c r="H13" s="191">
        <f>SUM(H7:H12)</f>
        <v>0</v>
      </c>
      <c r="I13" s="189">
        <f>SUM(I7:I12)</f>
        <v>0</v>
      </c>
      <c r="J13" s="190" t="str">
        <f t="shared" si="1"/>
        <v>-</v>
      </c>
      <c r="K13" s="192">
        <f>SUM(K7:K12)</f>
        <v>0</v>
      </c>
      <c r="L13" s="190" t="str">
        <f t="shared" si="2"/>
        <v>-</v>
      </c>
      <c r="M13" s="13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</row>
    <row r="14" spans="2:24" ht="15.75" customHeight="1" thickTop="1" thickBot="1" x14ac:dyDescent="0.3">
      <c r="B14"/>
      <c r="C14" s="193" t="s">
        <v>5</v>
      </c>
      <c r="D14" s="194">
        <f>'Daily Dash'!X25</f>
        <v>0</v>
      </c>
      <c r="E14" s="195">
        <f>'Daily Dash'!Y25</f>
        <v>0</v>
      </c>
      <c r="F14" s="196" t="s">
        <v>58</v>
      </c>
      <c r="G14" s="197" t="s">
        <v>58</v>
      </c>
      <c r="H14" s="198" t="s">
        <v>58</v>
      </c>
      <c r="I14" s="199" t="s">
        <v>58</v>
      </c>
      <c r="J14" s="200" t="s">
        <v>58</v>
      </c>
      <c r="K14" s="201">
        <f>E14</f>
        <v>0</v>
      </c>
      <c r="L14" s="202" t="s">
        <v>58</v>
      </c>
      <c r="M14" s="13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</row>
    <row r="15" spans="2:24" ht="15" x14ac:dyDescent="0.25">
      <c r="C15" s="375" t="s">
        <v>64</v>
      </c>
      <c r="D15" s="377" t="e">
        <f>E13/L16</f>
        <v>#N/A</v>
      </c>
      <c r="E15" s="378"/>
      <c r="F15" s="379"/>
      <c r="G15" s="383" t="e">
        <f>I13/L16</f>
        <v>#N/A</v>
      </c>
      <c r="H15" s="384"/>
      <c r="I15" s="385"/>
      <c r="J15" s="386"/>
      <c r="K15" s="377" t="e">
        <f>K13/L16</f>
        <v>#N/A</v>
      </c>
      <c r="L15" s="203" t="s">
        <v>65</v>
      </c>
      <c r="M15" s="13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</row>
    <row r="16" spans="2:24" ht="15.75" thickBot="1" x14ac:dyDescent="0.3">
      <c r="C16" s="376"/>
      <c r="D16" s="380"/>
      <c r="E16" s="381"/>
      <c r="F16" s="382"/>
      <c r="G16" s="387"/>
      <c r="H16" s="388"/>
      <c r="I16" s="389"/>
      <c r="J16" s="390"/>
      <c r="K16" s="380"/>
      <c r="L16" s="204" t="e">
        <f>'Daily Dash'!Q25</f>
        <v>#N/A</v>
      </c>
      <c r="M16" s="13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</row>
    <row r="17" spans="3:24" ht="15" x14ac:dyDescent="0.25">
      <c r="C17"/>
      <c r="D17"/>
      <c r="E17"/>
      <c r="F17"/>
      <c r="G17"/>
      <c r="H17"/>
      <c r="I17"/>
      <c r="J17"/>
      <c r="K17"/>
      <c r="L17"/>
      <c r="M17" s="13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</row>
    <row r="18" spans="3:24" ht="15" x14ac:dyDescent="0.25">
      <c r="C18"/>
      <c r="D18"/>
      <c r="E18"/>
      <c r="F18"/>
      <c r="G18"/>
      <c r="H18"/>
      <c r="I18"/>
      <c r="J18"/>
      <c r="K18" s="287" t="s">
        <v>269</v>
      </c>
      <c r="L18"/>
      <c r="M18" s="138"/>
      <c r="N18"/>
      <c r="O18"/>
      <c r="P18"/>
      <c r="Q18"/>
      <c r="R18"/>
      <c r="S18"/>
      <c r="T18"/>
      <c r="U18"/>
      <c r="V18"/>
      <c r="W18"/>
      <c r="X18"/>
    </row>
    <row r="19" spans="3:24" ht="15" x14ac:dyDescent="0.25">
      <c r="C19"/>
      <c r="D19"/>
      <c r="E19"/>
      <c r="F19"/>
      <c r="G19"/>
      <c r="H19"/>
      <c r="I19"/>
      <c r="J19"/>
      <c r="K19" s="288">
        <v>3.6999999999999998E-2</v>
      </c>
      <c r="L19"/>
      <c r="M19" s="138"/>
      <c r="N19"/>
      <c r="O19"/>
      <c r="P19"/>
      <c r="Q19"/>
      <c r="R19"/>
      <c r="S19"/>
      <c r="T19"/>
      <c r="U19"/>
      <c r="V19"/>
      <c r="W19"/>
      <c r="X19"/>
    </row>
    <row r="20" spans="3:24" x14ac:dyDescent="0.2">
      <c r="C20" s="138"/>
      <c r="D20" s="138"/>
      <c r="E20" s="138"/>
      <c r="F20" s="138"/>
      <c r="G20" s="138"/>
      <c r="H20" s="138"/>
      <c r="I20" s="138"/>
      <c r="J20" s="138"/>
      <c r="K20" s="289" t="s">
        <v>270</v>
      </c>
      <c r="L20" s="138"/>
      <c r="M20" s="138"/>
    </row>
    <row r="21" spans="3:24" x14ac:dyDescent="0.2">
      <c r="C21" s="138"/>
      <c r="D21" s="138"/>
      <c r="E21" s="138"/>
      <c r="F21" s="138"/>
      <c r="G21" s="138"/>
      <c r="H21" s="138"/>
      <c r="I21" s="138"/>
      <c r="J21" s="138"/>
      <c r="K21" s="290" t="e">
        <f>(K15-K19)/K19</f>
        <v>#N/A</v>
      </c>
      <c r="L21" s="138"/>
      <c r="M21" s="138"/>
    </row>
    <row r="22" spans="3:24" x14ac:dyDescent="0.2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</row>
    <row r="23" spans="3:24" x14ac:dyDescent="0.2">
      <c r="C23" s="138"/>
      <c r="D23" s="138"/>
      <c r="E23" s="138"/>
      <c r="F23" s="138"/>
      <c r="G23" s="138"/>
      <c r="M23" s="138"/>
    </row>
    <row r="26" spans="3:24" ht="15" x14ac:dyDescent="0.25">
      <c r="D26"/>
      <c r="E26"/>
      <c r="F26"/>
      <c r="G26"/>
      <c r="H26"/>
      <c r="I26"/>
      <c r="J26"/>
    </row>
    <row r="27" spans="3:24" ht="15" x14ac:dyDescent="0.25">
      <c r="D27"/>
      <c r="E27"/>
      <c r="F27"/>
      <c r="G27"/>
      <c r="H27"/>
      <c r="I27"/>
      <c r="J27"/>
    </row>
    <row r="28" spans="3:24" ht="15" x14ac:dyDescent="0.25">
      <c r="D28"/>
      <c r="E28"/>
      <c r="F28"/>
      <c r="G28"/>
      <c r="H28"/>
      <c r="I28"/>
      <c r="J28"/>
    </row>
    <row r="29" spans="3:24" ht="15" x14ac:dyDescent="0.25">
      <c r="D29"/>
      <c r="E29"/>
      <c r="F29"/>
      <c r="G29"/>
      <c r="H29"/>
      <c r="I29"/>
      <c r="J29"/>
    </row>
    <row r="30" spans="3:24" ht="15" x14ac:dyDescent="0.25">
      <c r="D30"/>
      <c r="E30"/>
      <c r="F30"/>
      <c r="G30"/>
      <c r="H30"/>
      <c r="I30"/>
      <c r="J30"/>
    </row>
    <row r="31" spans="3:24" ht="15" x14ac:dyDescent="0.25">
      <c r="D31"/>
      <c r="E31"/>
      <c r="F31"/>
      <c r="G31"/>
      <c r="H31"/>
      <c r="I31"/>
      <c r="J31"/>
    </row>
    <row r="32" spans="3:24" ht="15" x14ac:dyDescent="0.25">
      <c r="D32"/>
      <c r="E32"/>
      <c r="F32"/>
      <c r="G32"/>
      <c r="H32"/>
      <c r="I32"/>
      <c r="J32"/>
    </row>
    <row r="33" spans="4:10" ht="15" x14ac:dyDescent="0.25">
      <c r="D33"/>
      <c r="E33"/>
      <c r="F33"/>
      <c r="G33"/>
      <c r="H33"/>
      <c r="I33"/>
      <c r="J33"/>
    </row>
    <row r="34" spans="4:10" ht="15" x14ac:dyDescent="0.25">
      <c r="D34"/>
      <c r="E34"/>
      <c r="F34"/>
      <c r="G34"/>
      <c r="H34"/>
      <c r="I34"/>
      <c r="J34"/>
    </row>
    <row r="35" spans="4:10" ht="15" x14ac:dyDescent="0.25">
      <c r="D35"/>
      <c r="E35"/>
      <c r="F35"/>
      <c r="G35"/>
      <c r="H35"/>
      <c r="I35"/>
      <c r="J35"/>
    </row>
    <row r="36" spans="4:10" ht="15" x14ac:dyDescent="0.25">
      <c r="D36"/>
      <c r="E36"/>
      <c r="F36"/>
      <c r="G36"/>
      <c r="H36"/>
      <c r="I36"/>
      <c r="J36"/>
    </row>
    <row r="37" spans="4:10" ht="15" x14ac:dyDescent="0.25">
      <c r="D37"/>
      <c r="E37"/>
      <c r="F37"/>
      <c r="G37"/>
      <c r="H37"/>
      <c r="I37"/>
      <c r="J37"/>
    </row>
    <row r="38" spans="4:10" ht="15" x14ac:dyDescent="0.25">
      <c r="D38"/>
      <c r="E38"/>
      <c r="F38"/>
      <c r="G38"/>
      <c r="H38"/>
      <c r="I38"/>
      <c r="J38"/>
    </row>
    <row r="39" spans="4:10" ht="15" x14ac:dyDescent="0.25">
      <c r="D39"/>
      <c r="E39"/>
      <c r="F39"/>
      <c r="G39"/>
      <c r="H39"/>
      <c r="I39"/>
      <c r="J39"/>
    </row>
    <row r="40" spans="4:10" ht="15" x14ac:dyDescent="0.25">
      <c r="D40"/>
      <c r="E40"/>
      <c r="F40"/>
      <c r="G40"/>
      <c r="H40"/>
      <c r="I40"/>
      <c r="J40"/>
    </row>
    <row r="41" spans="4:10" ht="15" x14ac:dyDescent="0.25">
      <c r="D41"/>
      <c r="E41"/>
      <c r="F41"/>
      <c r="G41"/>
      <c r="H41"/>
      <c r="I41"/>
      <c r="J41"/>
    </row>
    <row r="43" spans="4:10" ht="15" x14ac:dyDescent="0.25">
      <c r="E43" s="205"/>
      <c r="F43"/>
    </row>
    <row r="44" spans="4:10" ht="15" x14ac:dyDescent="0.25">
      <c r="E44" s="205"/>
      <c r="F44"/>
    </row>
    <row r="45" spans="4:10" ht="15" x14ac:dyDescent="0.25">
      <c r="E45" s="205"/>
      <c r="F45"/>
    </row>
    <row r="46" spans="4:10" ht="15" x14ac:dyDescent="0.25">
      <c r="E46" s="205"/>
      <c r="F46"/>
    </row>
    <row r="47" spans="4:10" ht="15" x14ac:dyDescent="0.25">
      <c r="E47" s="205"/>
      <c r="F47"/>
    </row>
    <row r="48" spans="4:10" ht="15" x14ac:dyDescent="0.25">
      <c r="E48" s="205"/>
      <c r="F48"/>
    </row>
    <row r="49" spans="5:6" ht="15" x14ac:dyDescent="0.25">
      <c r="E49" s="205"/>
      <c r="F49"/>
    </row>
    <row r="50" spans="5:6" ht="15" x14ac:dyDescent="0.25">
      <c r="E50" s="205"/>
      <c r="F50"/>
    </row>
    <row r="51" spans="5:6" ht="15" x14ac:dyDescent="0.25">
      <c r="E51" s="205"/>
      <c r="F51"/>
    </row>
    <row r="52" spans="5:6" ht="15" x14ac:dyDescent="0.25">
      <c r="E52" s="205"/>
      <c r="F52"/>
    </row>
    <row r="53" spans="5:6" ht="15" x14ac:dyDescent="0.25">
      <c r="E53" s="205"/>
      <c r="F53"/>
    </row>
    <row r="54" spans="5:6" ht="15" x14ac:dyDescent="0.25">
      <c r="E54" s="205"/>
      <c r="F54"/>
    </row>
    <row r="55" spans="5:6" ht="15" x14ac:dyDescent="0.25">
      <c r="E55" s="205"/>
      <c r="F55"/>
    </row>
    <row r="56" spans="5:6" ht="15" x14ac:dyDescent="0.25">
      <c r="E56" s="205"/>
      <c r="F56"/>
    </row>
    <row r="57" spans="5:6" ht="15" x14ac:dyDescent="0.25">
      <c r="E57" s="205"/>
      <c r="F57"/>
    </row>
    <row r="58" spans="5:6" ht="15" x14ac:dyDescent="0.25">
      <c r="E58" s="205"/>
      <c r="F58"/>
    </row>
    <row r="59" spans="5:6" ht="15" x14ac:dyDescent="0.25">
      <c r="E59" s="205"/>
      <c r="F59"/>
    </row>
    <row r="60" spans="5:6" ht="15" x14ac:dyDescent="0.25">
      <c r="E60" s="205"/>
      <c r="F60"/>
    </row>
    <row r="61" spans="5:6" ht="15" x14ac:dyDescent="0.25">
      <c r="E61" s="205"/>
      <c r="F61"/>
    </row>
    <row r="62" spans="5:6" ht="15" x14ac:dyDescent="0.25">
      <c r="E62" s="205"/>
      <c r="F62"/>
    </row>
    <row r="63" spans="5:6" ht="15" x14ac:dyDescent="0.25">
      <c r="E63" s="205"/>
      <c r="F63"/>
    </row>
    <row r="64" spans="5:6" ht="15" x14ac:dyDescent="0.25">
      <c r="E64" s="205"/>
      <c r="F64"/>
    </row>
    <row r="65" spans="5:6" ht="15" x14ac:dyDescent="0.25">
      <c r="E65" s="205"/>
      <c r="F65"/>
    </row>
    <row r="66" spans="5:6" ht="15" x14ac:dyDescent="0.25">
      <c r="E66" s="205"/>
      <c r="F66"/>
    </row>
    <row r="67" spans="5:6" ht="15" x14ac:dyDescent="0.25">
      <c r="E67" s="205"/>
      <c r="F67"/>
    </row>
    <row r="68" spans="5:6" ht="15" x14ac:dyDescent="0.25">
      <c r="E68" s="205"/>
      <c r="F68"/>
    </row>
    <row r="69" spans="5:6" ht="15" x14ac:dyDescent="0.25">
      <c r="E69" s="205"/>
      <c r="F69"/>
    </row>
    <row r="70" spans="5:6" ht="15" x14ac:dyDescent="0.25">
      <c r="E70" s="205"/>
      <c r="F70"/>
    </row>
    <row r="71" spans="5:6" ht="15" x14ac:dyDescent="0.25">
      <c r="E71" s="205"/>
      <c r="F71"/>
    </row>
    <row r="72" spans="5:6" ht="15" x14ac:dyDescent="0.25">
      <c r="E72" s="205"/>
      <c r="F72"/>
    </row>
    <row r="73" spans="5:6" ht="15" x14ac:dyDescent="0.25">
      <c r="E73" s="205"/>
      <c r="F73"/>
    </row>
    <row r="74" spans="5:6" ht="15" x14ac:dyDescent="0.25">
      <c r="E74" s="205"/>
      <c r="F74"/>
    </row>
    <row r="75" spans="5:6" ht="15" x14ac:dyDescent="0.25">
      <c r="E75" s="205"/>
      <c r="F75"/>
    </row>
    <row r="76" spans="5:6" ht="15" x14ac:dyDescent="0.25">
      <c r="E76" s="205"/>
      <c r="F76"/>
    </row>
    <row r="77" spans="5:6" ht="15" x14ac:dyDescent="0.25">
      <c r="E77" s="205"/>
      <c r="F77"/>
    </row>
    <row r="78" spans="5:6" ht="15" x14ac:dyDescent="0.25">
      <c r="E78" s="205"/>
      <c r="F78"/>
    </row>
    <row r="79" spans="5:6" ht="15" x14ac:dyDescent="0.25">
      <c r="E79" s="205"/>
      <c r="F79"/>
    </row>
    <row r="80" spans="5:6" ht="15" x14ac:dyDescent="0.25">
      <c r="E80" s="205"/>
      <c r="F80"/>
    </row>
    <row r="81" spans="5:6" ht="15" x14ac:dyDescent="0.25">
      <c r="E81" s="205"/>
      <c r="F81"/>
    </row>
    <row r="82" spans="5:6" ht="15" x14ac:dyDescent="0.25">
      <c r="E82" s="205"/>
      <c r="F82"/>
    </row>
    <row r="83" spans="5:6" ht="15" x14ac:dyDescent="0.25">
      <c r="E83" s="205"/>
      <c r="F83"/>
    </row>
    <row r="84" spans="5:6" ht="15" x14ac:dyDescent="0.25">
      <c r="E84" s="205"/>
      <c r="F84"/>
    </row>
    <row r="85" spans="5:6" ht="15" x14ac:dyDescent="0.25">
      <c r="E85" s="205"/>
      <c r="F85"/>
    </row>
    <row r="86" spans="5:6" ht="15" x14ac:dyDescent="0.25">
      <c r="E86" s="205"/>
      <c r="F86"/>
    </row>
    <row r="87" spans="5:6" ht="15" x14ac:dyDescent="0.25">
      <c r="E87" s="205"/>
      <c r="F87"/>
    </row>
    <row r="88" spans="5:6" ht="15" x14ac:dyDescent="0.25">
      <c r="E88" s="205"/>
      <c r="F88"/>
    </row>
    <row r="89" spans="5:6" ht="15" x14ac:dyDescent="0.25">
      <c r="E89" s="205"/>
      <c r="F89"/>
    </row>
    <row r="90" spans="5:6" ht="15" x14ac:dyDescent="0.25">
      <c r="E90" s="205"/>
      <c r="F90"/>
    </row>
    <row r="91" spans="5:6" ht="15" x14ac:dyDescent="0.25">
      <c r="E91" s="205"/>
      <c r="F91"/>
    </row>
    <row r="92" spans="5:6" ht="15" x14ac:dyDescent="0.25">
      <c r="E92" s="205"/>
      <c r="F92"/>
    </row>
    <row r="93" spans="5:6" ht="15" x14ac:dyDescent="0.25">
      <c r="E93" s="205"/>
      <c r="F93"/>
    </row>
    <row r="94" spans="5:6" ht="15" x14ac:dyDescent="0.25">
      <c r="E94" s="205"/>
      <c r="F94"/>
    </row>
  </sheetData>
  <mergeCells count="9">
    <mergeCell ref="C15:C16"/>
    <mergeCell ref="D15:F16"/>
    <mergeCell ref="G15:J16"/>
    <mergeCell ref="K15:K16"/>
    <mergeCell ref="C3:L3"/>
    <mergeCell ref="C4:C6"/>
    <mergeCell ref="D4:F5"/>
    <mergeCell ref="G4:J5"/>
    <mergeCell ref="K4:L5"/>
  </mergeCells>
  <pageMargins left="0.7" right="0.7" top="0.75" bottom="0.75" header="0.55000000000000004" footer="0.3"/>
  <pageSetup scale="64" orientation="landscape" r:id="rId1"/>
  <headerFooter alignWithMargins="0">
    <oddHeader>&amp;L
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C00000"/>
  </sheetPr>
  <dimension ref="A1:F2"/>
  <sheetViews>
    <sheetView workbookViewId="0">
      <selection activeCell="I16" sqref="I16"/>
    </sheetView>
  </sheetViews>
  <sheetFormatPr defaultRowHeight="15" x14ac:dyDescent="0.25"/>
  <cols>
    <col min="1" max="1" width="13.85546875" bestFit="1" customWidth="1"/>
    <col min="2" max="2" width="9" customWidth="1"/>
    <col min="3" max="3" width="14.85546875" bestFit="1" customWidth="1"/>
    <col min="4" max="4" width="15" bestFit="1" customWidth="1"/>
  </cols>
  <sheetData>
    <row r="1" spans="1:6" x14ac:dyDescent="0.25">
      <c r="A1" s="296" t="s">
        <v>273</v>
      </c>
      <c r="B1" s="296" t="s">
        <v>37</v>
      </c>
      <c r="C1" s="296" t="s">
        <v>274</v>
      </c>
      <c r="D1" s="296" t="s">
        <v>275</v>
      </c>
      <c r="F1" s="297" t="s">
        <v>276</v>
      </c>
    </row>
    <row r="2" spans="1:6" x14ac:dyDescent="0.25">
      <c r="A2" s="298">
        <f ca="1">TODAY()</f>
        <v>44014</v>
      </c>
      <c r="B2" s="299" t="e">
        <f>('Daily Dash'!V25)</f>
        <v>#N/A</v>
      </c>
      <c r="C2" s="300">
        <f ca="1">SUMIF(DM_Data!CC:CC,'NOS Receipts'!A2,DM_Data!BX:BX)</f>
        <v>0</v>
      </c>
      <c r="D2" s="301">
        <f ca="1">SUMIF(DM_Data!CC:CC,'NOS Receipts'!A2,DM_Data!BW:BW)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Info</vt:lpstr>
      <vt:lpstr>Daily Dash</vt:lpstr>
      <vt:lpstr>Details-Products</vt:lpstr>
      <vt:lpstr>DM_Data</vt:lpstr>
      <vt:lpstr>Ttl_Inv</vt:lpstr>
      <vt:lpstr>UPCS</vt:lpstr>
      <vt:lpstr>NOS Breakdown Chart</vt:lpstr>
      <vt:lpstr>NOS Receipts</vt:lpstr>
      <vt:lpstr>'Daily Dash'!Print_Area</vt:lpstr>
      <vt:lpstr>'NOS Breakdown Chart'!Print_Area</vt:lpstr>
    </vt:vector>
  </TitlesOfParts>
  <Company>HBC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Hernandez, Vanessa</dc:creator>
  <cp:lastModifiedBy>Middle</cp:lastModifiedBy>
  <dcterms:created xsi:type="dcterms:W3CDTF">2019-04-03T20:16:57Z</dcterms:created>
  <dcterms:modified xsi:type="dcterms:W3CDTF">2020-07-02T16:43:35Z</dcterms:modified>
</cp:coreProperties>
</file>