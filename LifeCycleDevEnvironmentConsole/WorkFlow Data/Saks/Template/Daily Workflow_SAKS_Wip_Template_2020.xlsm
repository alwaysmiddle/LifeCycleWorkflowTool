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Saks\Template\"/>
    </mc:Choice>
  </mc:AlternateContent>
  <xr:revisionPtr revIDLastSave="0" documentId="13_ncr:1_{2EBA7086-28B5-417D-8A4D-69C423CB7087}" xr6:coauthVersionLast="44" xr6:coauthVersionMax="44" xr10:uidLastSave="{00000000-0000-0000-0000-000000000000}"/>
  <bookViews>
    <workbookView xWindow="5535" yWindow="375" windowWidth="21180" windowHeight="14340" tabRatio="804" activeTab="4" xr2:uid="{00000000-000D-0000-FFFF-FFFF00000000}"/>
  </bookViews>
  <sheets>
    <sheet name="WF Summary Chart" sheetId="6" r:id="rId1"/>
    <sheet name="Details-Products" sheetId="4" r:id="rId2"/>
    <sheet name="DM_Data" sheetId="11" r:id="rId3"/>
    <sheet name="NOS Breakdown Chart" sheetId="28" r:id="rId4"/>
    <sheet name="Ttl_Inv" sheetId="29" r:id="rId5"/>
    <sheet name="Info" sheetId="9" state="hidden" r:id="rId6"/>
    <sheet name="Additional Color Sizes Report" sheetId="31" r:id="rId7"/>
    <sheet name="NOS Receipts" sheetId="32" r:id="rId8"/>
  </sheets>
  <definedNames>
    <definedName name="_xlnm._FilterDatabase" localSheetId="6" hidden="1">'Additional Color Sizes Report'!$A$2:$AS$2</definedName>
    <definedName name="_xlnm._FilterDatabase" localSheetId="1" hidden="1">'Details-Products'!$C$7:$EG$7</definedName>
    <definedName name="_xlnm._FilterDatabase" localSheetId="2" hidden="1">DM_Data!#REF!</definedName>
    <definedName name="_xlnm.Print_Area" localSheetId="3">'NOS Breakdown Chart'!$B$1:$T$19</definedName>
    <definedName name="_xlnm.Print_Area" localSheetId="0">'WF Summary Chart'!$D$1:$BI$53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R1" i="31" l="1"/>
  <c r="Z15" i="6" l="1"/>
  <c r="Q52" i="6" l="1"/>
  <c r="Q51" i="6"/>
  <c r="Q48" i="6"/>
  <c r="Q49" i="6"/>
  <c r="Q47" i="6"/>
  <c r="Q41" i="6"/>
  <c r="Q42" i="6"/>
  <c r="Q43" i="6"/>
  <c r="Q44" i="6"/>
  <c r="Q45" i="6"/>
  <c r="Q40" i="6"/>
  <c r="Q32" i="6"/>
  <c r="Q33" i="6"/>
  <c r="Q34" i="6"/>
  <c r="Q35" i="6"/>
  <c r="Q36" i="6"/>
  <c r="Q37" i="6"/>
  <c r="Q38" i="6"/>
  <c r="Q31" i="6"/>
  <c r="Q23" i="6"/>
  <c r="Q24" i="6"/>
  <c r="Q25" i="6"/>
  <c r="Q26" i="6"/>
  <c r="Q27" i="6"/>
  <c r="Q28" i="6"/>
  <c r="Q29" i="6"/>
  <c r="Q22" i="6"/>
  <c r="Q16" i="6"/>
  <c r="Q17" i="6"/>
  <c r="Q18" i="6"/>
  <c r="Q19" i="6"/>
  <c r="Q20" i="6"/>
  <c r="Q15" i="6"/>
  <c r="E15" i="6" l="1"/>
  <c r="F15" i="6"/>
  <c r="G15" i="6"/>
  <c r="H15" i="6"/>
  <c r="I15" i="6"/>
  <c r="J15" i="6"/>
  <c r="K15" i="6"/>
  <c r="L15" i="6"/>
  <c r="M15" i="6"/>
  <c r="T15" i="6"/>
  <c r="S15" i="6"/>
  <c r="AA15" i="6"/>
  <c r="AB15" i="6"/>
  <c r="AC15" i="6"/>
  <c r="AD15" i="6"/>
  <c r="AE15" i="6"/>
  <c r="AF15" i="6"/>
  <c r="AG15" i="6"/>
  <c r="AH15" i="6"/>
  <c r="AI15" i="6"/>
  <c r="AJ15" i="6"/>
  <c r="AK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E16" i="6"/>
  <c r="F16" i="6"/>
  <c r="G16" i="6"/>
  <c r="H16" i="6"/>
  <c r="I16" i="6"/>
  <c r="J16" i="6"/>
  <c r="K16" i="6"/>
  <c r="L16" i="6"/>
  <c r="M16" i="6"/>
  <c r="S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E17" i="6"/>
  <c r="F17" i="6"/>
  <c r="G17" i="6"/>
  <c r="H17" i="6"/>
  <c r="I17" i="6"/>
  <c r="J17" i="6"/>
  <c r="K17" i="6"/>
  <c r="L17" i="6"/>
  <c r="M17" i="6"/>
  <c r="S17" i="6"/>
  <c r="T17" i="6" s="1"/>
  <c r="Z17" i="6"/>
  <c r="AA17" i="6"/>
  <c r="AB17" i="6"/>
  <c r="AC17" i="6"/>
  <c r="AD17" i="6"/>
  <c r="AE17" i="6"/>
  <c r="AF17" i="6"/>
  <c r="AG17" i="6"/>
  <c r="AH17" i="6"/>
  <c r="AI17" i="6"/>
  <c r="AJ17" i="6"/>
  <c r="AK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E18" i="6"/>
  <c r="F18" i="6"/>
  <c r="G18" i="6"/>
  <c r="H18" i="6"/>
  <c r="I18" i="6"/>
  <c r="J18" i="6"/>
  <c r="K18" i="6"/>
  <c r="L18" i="6"/>
  <c r="M18" i="6"/>
  <c r="S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E19" i="6"/>
  <c r="F19" i="6"/>
  <c r="G19" i="6"/>
  <c r="H19" i="6"/>
  <c r="I19" i="6"/>
  <c r="J19" i="6"/>
  <c r="K19" i="6"/>
  <c r="L19" i="6"/>
  <c r="M19" i="6"/>
  <c r="S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E20" i="6"/>
  <c r="F20" i="6"/>
  <c r="G20" i="6"/>
  <c r="H20" i="6"/>
  <c r="I20" i="6"/>
  <c r="J20" i="6"/>
  <c r="K20" i="6"/>
  <c r="L20" i="6"/>
  <c r="M20" i="6"/>
  <c r="S20" i="6"/>
  <c r="T20" i="6" s="1"/>
  <c r="Z20" i="6"/>
  <c r="AA20" i="6"/>
  <c r="AB20" i="6"/>
  <c r="AC20" i="6"/>
  <c r="AD20" i="6"/>
  <c r="AE20" i="6"/>
  <c r="AF20" i="6"/>
  <c r="AG20" i="6"/>
  <c r="AH20" i="6"/>
  <c r="AI20" i="6"/>
  <c r="AJ20" i="6"/>
  <c r="AK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E22" i="6"/>
  <c r="F22" i="6"/>
  <c r="G22" i="6"/>
  <c r="H22" i="6"/>
  <c r="I22" i="6"/>
  <c r="J22" i="6"/>
  <c r="K22" i="6"/>
  <c r="L22" i="6"/>
  <c r="M22" i="6"/>
  <c r="S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E23" i="6"/>
  <c r="F23" i="6"/>
  <c r="G23" i="6"/>
  <c r="H23" i="6"/>
  <c r="I23" i="6"/>
  <c r="J23" i="6"/>
  <c r="K23" i="6"/>
  <c r="L23" i="6"/>
  <c r="M23" i="6"/>
  <c r="T23" i="6"/>
  <c r="S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E24" i="6"/>
  <c r="F24" i="6"/>
  <c r="G24" i="6"/>
  <c r="H24" i="6"/>
  <c r="I24" i="6"/>
  <c r="J24" i="6"/>
  <c r="K24" i="6"/>
  <c r="L24" i="6"/>
  <c r="M24" i="6"/>
  <c r="S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E25" i="6"/>
  <c r="F25" i="6"/>
  <c r="G25" i="6"/>
  <c r="H25" i="6"/>
  <c r="I25" i="6"/>
  <c r="J25" i="6"/>
  <c r="K25" i="6"/>
  <c r="L25" i="6"/>
  <c r="M25" i="6"/>
  <c r="S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E26" i="6"/>
  <c r="F26" i="6"/>
  <c r="G26" i="6"/>
  <c r="H26" i="6"/>
  <c r="I26" i="6"/>
  <c r="J26" i="6"/>
  <c r="K26" i="6"/>
  <c r="L26" i="6"/>
  <c r="M26" i="6"/>
  <c r="S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E27" i="6"/>
  <c r="F27" i="6"/>
  <c r="G27" i="6"/>
  <c r="H27" i="6"/>
  <c r="I27" i="6"/>
  <c r="J27" i="6"/>
  <c r="K27" i="6"/>
  <c r="L27" i="6"/>
  <c r="M27" i="6"/>
  <c r="S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E28" i="6"/>
  <c r="F28" i="6"/>
  <c r="G28" i="6"/>
  <c r="H28" i="6"/>
  <c r="I28" i="6"/>
  <c r="J28" i="6"/>
  <c r="K28" i="6"/>
  <c r="L28" i="6"/>
  <c r="M28" i="6"/>
  <c r="S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E29" i="6"/>
  <c r="F29" i="6"/>
  <c r="G29" i="6"/>
  <c r="H29" i="6"/>
  <c r="I29" i="6"/>
  <c r="J29" i="6"/>
  <c r="K29" i="6"/>
  <c r="L29" i="6"/>
  <c r="M29" i="6"/>
  <c r="S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E31" i="6"/>
  <c r="F31" i="6"/>
  <c r="G31" i="6"/>
  <c r="H31" i="6"/>
  <c r="I31" i="6"/>
  <c r="J31" i="6"/>
  <c r="K31" i="6"/>
  <c r="L31" i="6"/>
  <c r="M31" i="6"/>
  <c r="S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E32" i="6"/>
  <c r="F32" i="6"/>
  <c r="G32" i="6"/>
  <c r="H32" i="6"/>
  <c r="I32" i="6"/>
  <c r="J32" i="6"/>
  <c r="K32" i="6"/>
  <c r="L32" i="6"/>
  <c r="M32" i="6"/>
  <c r="S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E33" i="6"/>
  <c r="F33" i="6"/>
  <c r="G33" i="6"/>
  <c r="H33" i="6"/>
  <c r="I33" i="6"/>
  <c r="J33" i="6"/>
  <c r="K33" i="6"/>
  <c r="L33" i="6"/>
  <c r="M33" i="6"/>
  <c r="S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E34" i="6"/>
  <c r="F34" i="6"/>
  <c r="G34" i="6"/>
  <c r="H34" i="6"/>
  <c r="I34" i="6"/>
  <c r="J34" i="6"/>
  <c r="K34" i="6"/>
  <c r="L34" i="6"/>
  <c r="M34" i="6"/>
  <c r="S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E35" i="6"/>
  <c r="F35" i="6"/>
  <c r="G35" i="6"/>
  <c r="H35" i="6"/>
  <c r="I35" i="6"/>
  <c r="J35" i="6"/>
  <c r="K35" i="6"/>
  <c r="L35" i="6"/>
  <c r="M35" i="6"/>
  <c r="S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E36" i="6"/>
  <c r="F36" i="6"/>
  <c r="G36" i="6"/>
  <c r="H36" i="6"/>
  <c r="I36" i="6"/>
  <c r="J36" i="6"/>
  <c r="K36" i="6"/>
  <c r="L36" i="6"/>
  <c r="M36" i="6"/>
  <c r="S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E37" i="6"/>
  <c r="F37" i="6"/>
  <c r="G37" i="6"/>
  <c r="H37" i="6"/>
  <c r="I37" i="6"/>
  <c r="J37" i="6"/>
  <c r="K37" i="6"/>
  <c r="L37" i="6"/>
  <c r="M37" i="6"/>
  <c r="S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E38" i="6"/>
  <c r="F38" i="6"/>
  <c r="G38" i="6"/>
  <c r="H38" i="6"/>
  <c r="I38" i="6"/>
  <c r="J38" i="6"/>
  <c r="K38" i="6"/>
  <c r="L38" i="6"/>
  <c r="M38" i="6"/>
  <c r="S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E40" i="6"/>
  <c r="F40" i="6"/>
  <c r="G40" i="6"/>
  <c r="H40" i="6"/>
  <c r="I40" i="6"/>
  <c r="J40" i="6"/>
  <c r="K40" i="6"/>
  <c r="L40" i="6"/>
  <c r="M40" i="6"/>
  <c r="T40" i="6"/>
  <c r="S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E41" i="6"/>
  <c r="F41" i="6"/>
  <c r="G41" i="6"/>
  <c r="H41" i="6"/>
  <c r="I41" i="6"/>
  <c r="J41" i="6"/>
  <c r="K41" i="6"/>
  <c r="L41" i="6"/>
  <c r="M41" i="6"/>
  <c r="S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E42" i="6"/>
  <c r="F42" i="6"/>
  <c r="G42" i="6"/>
  <c r="H42" i="6"/>
  <c r="I42" i="6"/>
  <c r="J42" i="6"/>
  <c r="K42" i="6"/>
  <c r="L42" i="6"/>
  <c r="M42" i="6"/>
  <c r="S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E43" i="6"/>
  <c r="F43" i="6"/>
  <c r="G43" i="6"/>
  <c r="H43" i="6"/>
  <c r="I43" i="6"/>
  <c r="J43" i="6"/>
  <c r="K43" i="6"/>
  <c r="L43" i="6"/>
  <c r="M43" i="6"/>
  <c r="S43" i="6"/>
  <c r="T43" i="6" s="1"/>
  <c r="Z43" i="6"/>
  <c r="AA43" i="6"/>
  <c r="AB43" i="6"/>
  <c r="AC43" i="6"/>
  <c r="AD43" i="6"/>
  <c r="AE43" i="6"/>
  <c r="AF43" i="6"/>
  <c r="AG43" i="6"/>
  <c r="AH43" i="6"/>
  <c r="AI43" i="6"/>
  <c r="AJ43" i="6"/>
  <c r="AK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E44" i="6"/>
  <c r="F44" i="6"/>
  <c r="G44" i="6"/>
  <c r="H44" i="6"/>
  <c r="I44" i="6"/>
  <c r="J44" i="6"/>
  <c r="K44" i="6"/>
  <c r="L44" i="6"/>
  <c r="M44" i="6"/>
  <c r="S44" i="6"/>
  <c r="T44" i="6" s="1"/>
  <c r="Z44" i="6"/>
  <c r="AA44" i="6"/>
  <c r="AB44" i="6"/>
  <c r="AC44" i="6"/>
  <c r="AD44" i="6"/>
  <c r="AE44" i="6"/>
  <c r="AF44" i="6"/>
  <c r="AG44" i="6"/>
  <c r="AH44" i="6"/>
  <c r="AI44" i="6"/>
  <c r="AJ44" i="6"/>
  <c r="AK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E45" i="6"/>
  <c r="F45" i="6"/>
  <c r="G45" i="6"/>
  <c r="H45" i="6"/>
  <c r="I45" i="6"/>
  <c r="J45" i="6"/>
  <c r="K45" i="6"/>
  <c r="L45" i="6"/>
  <c r="M45" i="6"/>
  <c r="S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E47" i="6"/>
  <c r="F47" i="6"/>
  <c r="G47" i="6"/>
  <c r="H47" i="6"/>
  <c r="I47" i="6"/>
  <c r="J47" i="6"/>
  <c r="K47" i="6"/>
  <c r="L47" i="6"/>
  <c r="M47" i="6"/>
  <c r="S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E48" i="6"/>
  <c r="F48" i="6"/>
  <c r="G48" i="6"/>
  <c r="H48" i="6"/>
  <c r="I48" i="6"/>
  <c r="J48" i="6"/>
  <c r="K48" i="6"/>
  <c r="L48" i="6"/>
  <c r="M48" i="6"/>
  <c r="S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E49" i="6"/>
  <c r="F49" i="6"/>
  <c r="G49" i="6"/>
  <c r="H49" i="6"/>
  <c r="I49" i="6"/>
  <c r="J49" i="6"/>
  <c r="K49" i="6"/>
  <c r="L49" i="6"/>
  <c r="M49" i="6"/>
  <c r="S49" i="6"/>
  <c r="T49" i="6" s="1"/>
  <c r="Z49" i="6"/>
  <c r="AA49" i="6"/>
  <c r="AB49" i="6"/>
  <c r="AC49" i="6"/>
  <c r="AD49" i="6"/>
  <c r="AE49" i="6"/>
  <c r="AF49" i="6"/>
  <c r="AG49" i="6"/>
  <c r="AH49" i="6"/>
  <c r="AI49" i="6"/>
  <c r="AJ49" i="6"/>
  <c r="AK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E51" i="6"/>
  <c r="F51" i="6"/>
  <c r="G51" i="6"/>
  <c r="H51" i="6"/>
  <c r="I51" i="6"/>
  <c r="J51" i="6"/>
  <c r="K51" i="6"/>
  <c r="L51" i="6"/>
  <c r="M51" i="6"/>
  <c r="S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E52" i="6"/>
  <c r="F52" i="6"/>
  <c r="G52" i="6"/>
  <c r="H52" i="6"/>
  <c r="I52" i="6"/>
  <c r="I50" i="6" s="1"/>
  <c r="J52" i="6"/>
  <c r="K52" i="6"/>
  <c r="L52" i="6"/>
  <c r="M52" i="6"/>
  <c r="S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AN16" i="6" l="1"/>
  <c r="W24" i="6"/>
  <c r="X23" i="6"/>
  <c r="Y47" i="6"/>
  <c r="AN42" i="6"/>
  <c r="BH38" i="6"/>
  <c r="W38" i="6"/>
  <c r="BH29" i="6"/>
  <c r="AN28" i="6"/>
  <c r="BI52" i="6"/>
  <c r="AN51" i="6"/>
  <c r="BI22" i="6"/>
  <c r="BI15" i="6"/>
  <c r="BH35" i="6"/>
  <c r="AH46" i="6"/>
  <c r="AM48" i="6"/>
  <c r="AL19" i="6"/>
  <c r="AE50" i="6"/>
  <c r="Y44" i="6"/>
  <c r="X20" i="6"/>
  <c r="AN25" i="6"/>
  <c r="K50" i="6"/>
  <c r="X37" i="6"/>
  <c r="BI25" i="6"/>
  <c r="P25" i="6" s="1"/>
  <c r="R25" i="6" s="1"/>
  <c r="BG22" i="6"/>
  <c r="W26" i="6"/>
  <c r="BH25" i="6"/>
  <c r="AL38" i="6"/>
  <c r="BI31" i="6"/>
  <c r="AM26" i="6"/>
  <c r="M50" i="6"/>
  <c r="X49" i="6"/>
  <c r="BI48" i="6"/>
  <c r="AL37" i="6"/>
  <c r="AL36" i="6"/>
  <c r="E50" i="6"/>
  <c r="X48" i="6"/>
  <c r="W49" i="6"/>
  <c r="BI37" i="6"/>
  <c r="AN26" i="6"/>
  <c r="BG23" i="6"/>
  <c r="BI16" i="6"/>
  <c r="BD50" i="6"/>
  <c r="BH43" i="6"/>
  <c r="W43" i="6"/>
  <c r="AN17" i="6"/>
  <c r="AK50" i="6"/>
  <c r="AN40" i="6"/>
  <c r="Y36" i="6"/>
  <c r="W35" i="6"/>
  <c r="W33" i="6"/>
  <c r="X29" i="6"/>
  <c r="AL27" i="6"/>
  <c r="BG24" i="6"/>
  <c r="X18" i="6"/>
  <c r="Y17" i="6"/>
  <c r="AM49" i="6"/>
  <c r="BI51" i="6"/>
  <c r="AC50" i="6"/>
  <c r="W52" i="6"/>
  <c r="BG45" i="6"/>
  <c r="W41" i="6"/>
  <c r="X40" i="6"/>
  <c r="X36" i="6"/>
  <c r="Y35" i="6"/>
  <c r="BG34" i="6"/>
  <c r="X25" i="6"/>
  <c r="AL18" i="6"/>
  <c r="W18" i="6"/>
  <c r="AV50" i="6"/>
  <c r="X35" i="6"/>
  <c r="AM34" i="6"/>
  <c r="AN29" i="6"/>
  <c r="W25" i="6"/>
  <c r="AN20" i="6"/>
  <c r="Y16" i="6"/>
  <c r="AG50" i="6"/>
  <c r="X42" i="6"/>
  <c r="BG37" i="6"/>
  <c r="N37" i="6" s="1"/>
  <c r="BG36" i="6"/>
  <c r="W32" i="6"/>
  <c r="AL31" i="6"/>
  <c r="BI29" i="6"/>
  <c r="Y24" i="6"/>
  <c r="BI20" i="6"/>
  <c r="AM19" i="6"/>
  <c r="AZ46" i="6"/>
  <c r="AR46" i="6"/>
  <c r="S46" i="6"/>
  <c r="AL45" i="6"/>
  <c r="T35" i="6"/>
  <c r="S21" i="6"/>
  <c r="T21" i="6" s="1"/>
  <c r="AS50" i="6"/>
  <c r="AI50" i="6"/>
  <c r="X51" i="6"/>
  <c r="BH40" i="6"/>
  <c r="T38" i="6"/>
  <c r="BI36" i="6"/>
  <c r="S30" i="6"/>
  <c r="Y29" i="6"/>
  <c r="X17" i="6"/>
  <c r="BG16" i="6"/>
  <c r="T52" i="6"/>
  <c r="BA50" i="6"/>
  <c r="AA50" i="6"/>
  <c r="BH49" i="6"/>
  <c r="O49" i="6" s="1"/>
  <c r="AN44" i="6"/>
  <c r="Y41" i="6"/>
  <c r="AM35" i="6"/>
  <c r="T33" i="6"/>
  <c r="X33" i="6"/>
  <c r="T29" i="6"/>
  <c r="BI24" i="6"/>
  <c r="AM24" i="6"/>
  <c r="X24" i="6"/>
  <c r="AM18" i="6"/>
  <c r="AN52" i="6"/>
  <c r="AY50" i="6"/>
  <c r="AQ50" i="6"/>
  <c r="BG48" i="6"/>
  <c r="AK46" i="6"/>
  <c r="AL48" i="6"/>
  <c r="AM37" i="6"/>
  <c r="X34" i="6"/>
  <c r="AN33" i="6"/>
  <c r="Y33" i="6"/>
  <c r="AN27" i="6"/>
  <c r="P27" i="6" s="1"/>
  <c r="W27" i="6"/>
  <c r="BG25" i="6"/>
  <c r="AN19" i="6"/>
  <c r="BG17" i="6"/>
  <c r="BH16" i="6"/>
  <c r="O16" i="6" s="1"/>
  <c r="AM16" i="6"/>
  <c r="AL15" i="6"/>
  <c r="AU50" i="6"/>
  <c r="AM52" i="6"/>
  <c r="BF50" i="6"/>
  <c r="AP50" i="6"/>
  <c r="T51" i="6"/>
  <c r="BG43" i="6"/>
  <c r="BG41" i="6"/>
  <c r="AN41" i="6"/>
  <c r="W34" i="6"/>
  <c r="T32" i="6"/>
  <c r="BI28" i="6"/>
  <c r="P28" i="6" s="1"/>
  <c r="X28" i="6"/>
  <c r="BI27" i="6"/>
  <c r="Y27" i="6"/>
  <c r="W22" i="6"/>
  <c r="Y20" i="6"/>
  <c r="Y19" i="6"/>
  <c r="S14" i="6"/>
  <c r="S50" i="6"/>
  <c r="BC50" i="6"/>
  <c r="Y49" i="6"/>
  <c r="BG44" i="6"/>
  <c r="AM43" i="6"/>
  <c r="AN37" i="6"/>
  <c r="BH36" i="6"/>
  <c r="AL35" i="6"/>
  <c r="BI34" i="6"/>
  <c r="W28" i="6"/>
  <c r="T27" i="6"/>
  <c r="T24" i="6"/>
  <c r="BG19" i="6"/>
  <c r="T19" i="6"/>
  <c r="T16" i="6"/>
  <c r="T34" i="6"/>
  <c r="T42" i="6"/>
  <c r="T28" i="6"/>
  <c r="T31" i="6"/>
  <c r="Q21" i="6"/>
  <c r="Q46" i="6"/>
  <c r="T46" i="6" s="1"/>
  <c r="T45" i="6"/>
  <c r="T26" i="6"/>
  <c r="T18" i="6"/>
  <c r="Q50" i="6"/>
  <c r="T50" i="6" s="1"/>
  <c r="T48" i="6"/>
  <c r="T36" i="6"/>
  <c r="T25" i="6"/>
  <c r="AL52" i="6"/>
  <c r="AZ50" i="6"/>
  <c r="AR50" i="6"/>
  <c r="AH50" i="6"/>
  <c r="AN50" i="6" s="1"/>
  <c r="Z50" i="6"/>
  <c r="J50" i="6"/>
  <c r="AN49" i="6"/>
  <c r="M46" i="6"/>
  <c r="E46" i="6"/>
  <c r="AY46" i="6"/>
  <c r="AQ46" i="6"/>
  <c r="AG46" i="6"/>
  <c r="H46" i="6"/>
  <c r="Y45" i="6"/>
  <c r="AL41" i="6"/>
  <c r="N41" i="6" s="1"/>
  <c r="AL40" i="6"/>
  <c r="W40" i="6"/>
  <c r="BI38" i="6"/>
  <c r="AN35" i="6"/>
  <c r="AL33" i="6"/>
  <c r="BC30" i="6"/>
  <c r="AU30" i="6"/>
  <c r="AJ30" i="6"/>
  <c r="BE30" i="6"/>
  <c r="M30" i="6"/>
  <c r="E30" i="6"/>
  <c r="BI23" i="6"/>
  <c r="BC21" i="6"/>
  <c r="AU21" i="6"/>
  <c r="BI19" i="6"/>
  <c r="K14" i="6"/>
  <c r="BE14" i="6"/>
  <c r="AW14" i="6"/>
  <c r="AO14" i="6"/>
  <c r="AD14" i="6"/>
  <c r="L14" i="6"/>
  <c r="X52" i="6"/>
  <c r="BF46" i="6"/>
  <c r="AX46" i="6"/>
  <c r="AP46" i="6"/>
  <c r="AL47" i="6"/>
  <c r="G46" i="6"/>
  <c r="X45" i="6"/>
  <c r="O35" i="6"/>
  <c r="BD30" i="6"/>
  <c r="AV30" i="6"/>
  <c r="AD30" i="6"/>
  <c r="BH23" i="6"/>
  <c r="AM23" i="6"/>
  <c r="BB21" i="6"/>
  <c r="AT21" i="6"/>
  <c r="AL22" i="6"/>
  <c r="N22" i="6" s="1"/>
  <c r="I21" i="6"/>
  <c r="P20" i="6"/>
  <c r="R20" i="6" s="1"/>
  <c r="AL20" i="6"/>
  <c r="X19" i="6"/>
  <c r="BD14" i="6"/>
  <c r="AV14" i="6"/>
  <c r="AK14" i="6"/>
  <c r="AC14" i="6"/>
  <c r="H50" i="6"/>
  <c r="AS46" i="6"/>
  <c r="BE46" i="6"/>
  <c r="AW46" i="6"/>
  <c r="AO46" i="6"/>
  <c r="AE46" i="6"/>
  <c r="F46" i="6"/>
  <c r="AN45" i="6"/>
  <c r="Y43" i="6"/>
  <c r="BG38" i="6"/>
  <c r="N38" i="6" s="1"/>
  <c r="BG33" i="6"/>
  <c r="AM33" i="6"/>
  <c r="I30" i="6"/>
  <c r="AK30" i="6"/>
  <c r="AC30" i="6"/>
  <c r="BG29" i="6"/>
  <c r="W29" i="6"/>
  <c r="AL28" i="6"/>
  <c r="BG27" i="6"/>
  <c r="N27" i="6" s="1"/>
  <c r="BI26" i="6"/>
  <c r="AL26" i="6"/>
  <c r="AL25" i="6"/>
  <c r="Y25" i="6"/>
  <c r="AV21" i="6"/>
  <c r="AL23" i="6"/>
  <c r="W23" i="6"/>
  <c r="BA21" i="6"/>
  <c r="AS21" i="6"/>
  <c r="AH21" i="6"/>
  <c r="Z21" i="6"/>
  <c r="BH18" i="6"/>
  <c r="X16" i="6"/>
  <c r="BC14" i="6"/>
  <c r="AU14" i="6"/>
  <c r="AJ14" i="6"/>
  <c r="AB14" i="6"/>
  <c r="J14" i="6"/>
  <c r="BG51" i="6"/>
  <c r="AF50" i="6"/>
  <c r="AL50" i="6" s="1"/>
  <c r="BG52" i="6"/>
  <c r="BE50" i="6"/>
  <c r="AW50" i="6"/>
  <c r="AO50" i="6"/>
  <c r="J46" i="6"/>
  <c r="BD46" i="6"/>
  <c r="AV46" i="6"/>
  <c r="AN47" i="6"/>
  <c r="AM47" i="6"/>
  <c r="BI45" i="6"/>
  <c r="AN43" i="6"/>
  <c r="X43" i="6"/>
  <c r="BI42" i="6"/>
  <c r="AN38" i="6"/>
  <c r="Y38" i="6"/>
  <c r="BH34" i="6"/>
  <c r="O34" i="6" s="1"/>
  <c r="AZ30" i="6"/>
  <c r="AR30" i="6"/>
  <c r="AG30" i="6"/>
  <c r="BB30" i="6"/>
  <c r="AT30" i="6"/>
  <c r="J30" i="6"/>
  <c r="AJ21" i="6"/>
  <c r="AB21" i="6"/>
  <c r="L21" i="6"/>
  <c r="AG21" i="6"/>
  <c r="G21" i="6"/>
  <c r="BB14" i="6"/>
  <c r="AT14" i="6"/>
  <c r="I14" i="6"/>
  <c r="AD50" i="6"/>
  <c r="BC46" i="6"/>
  <c r="BI46" i="6" s="1"/>
  <c r="AU46" i="6"/>
  <c r="L46" i="6"/>
  <c r="BH45" i="6"/>
  <c r="BH42" i="6"/>
  <c r="W42" i="6"/>
  <c r="AM40" i="6"/>
  <c r="O40" i="6" s="1"/>
  <c r="AM38" i="6"/>
  <c r="O38" i="6" s="1"/>
  <c r="X38" i="6"/>
  <c r="BH33" i="6"/>
  <c r="G30" i="6"/>
  <c r="BA30" i="6"/>
  <c r="AS30" i="6"/>
  <c r="AI30" i="6"/>
  <c r="BG28" i="6"/>
  <c r="AM25" i="6"/>
  <c r="O25" i="6" s="1"/>
  <c r="O23" i="6"/>
  <c r="AY21" i="6"/>
  <c r="AQ21" i="6"/>
  <c r="F21" i="6"/>
  <c r="BG20" i="6"/>
  <c r="BH19" i="6"/>
  <c r="AN18" i="6"/>
  <c r="Y18" i="6"/>
  <c r="BA14" i="6"/>
  <c r="AS14" i="6"/>
  <c r="AN15" i="6"/>
  <c r="P15" i="6" s="1"/>
  <c r="H14" i="6"/>
  <c r="F50" i="6"/>
  <c r="BH48" i="6"/>
  <c r="BI49" i="6"/>
  <c r="W48" i="6"/>
  <c r="BB46" i="6"/>
  <c r="BH46" i="6" s="1"/>
  <c r="AT46" i="6"/>
  <c r="AJ46" i="6"/>
  <c r="AB46" i="6"/>
  <c r="K46" i="6"/>
  <c r="W45" i="6"/>
  <c r="BI44" i="6"/>
  <c r="P44" i="6" s="1"/>
  <c r="W44" i="6"/>
  <c r="BI43" i="6"/>
  <c r="AL43" i="6"/>
  <c r="BG42" i="6"/>
  <c r="AL42" i="6"/>
  <c r="Y42" i="6"/>
  <c r="AM36" i="6"/>
  <c r="W36" i="6"/>
  <c r="BI35" i="6"/>
  <c r="AN34" i="6"/>
  <c r="Y34" i="6"/>
  <c r="BG32" i="6"/>
  <c r="AE30" i="6"/>
  <c r="AN31" i="6"/>
  <c r="H30" i="6"/>
  <c r="AL29" i="6"/>
  <c r="N29" i="6" s="1"/>
  <c r="AM27" i="6"/>
  <c r="X27" i="6"/>
  <c r="X26" i="6"/>
  <c r="AN24" i="6"/>
  <c r="AN23" i="6"/>
  <c r="J21" i="6"/>
  <c r="BF21" i="6"/>
  <c r="AX21" i="6"/>
  <c r="AP21" i="6"/>
  <c r="AE21" i="6"/>
  <c r="M21" i="6"/>
  <c r="E21" i="6"/>
  <c r="AM20" i="6"/>
  <c r="BG18" i="6"/>
  <c r="BI17" i="6"/>
  <c r="P17" i="6" s="1"/>
  <c r="AZ14" i="6"/>
  <c r="AR14" i="6"/>
  <c r="AG14" i="6"/>
  <c r="G14" i="6"/>
  <c r="P51" i="6"/>
  <c r="BH52" i="6"/>
  <c r="O52" i="6" s="1"/>
  <c r="Y52" i="6"/>
  <c r="BB50" i="6"/>
  <c r="AT50" i="6"/>
  <c r="AJ50" i="6"/>
  <c r="AM50" i="6" s="1"/>
  <c r="AB50" i="6"/>
  <c r="L50" i="6"/>
  <c r="X50" i="6" s="1"/>
  <c r="Y48" i="6"/>
  <c r="BA46" i="6"/>
  <c r="AI46" i="6"/>
  <c r="AA46" i="6"/>
  <c r="AM45" i="6"/>
  <c r="O45" i="6" s="1"/>
  <c r="BH44" i="6"/>
  <c r="AL44" i="6"/>
  <c r="N44" i="6" s="1"/>
  <c r="W37" i="6"/>
  <c r="AN36" i="6"/>
  <c r="P36" i="6" s="1"/>
  <c r="N36" i="6"/>
  <c r="BI33" i="6"/>
  <c r="P33" i="6" s="1"/>
  <c r="K30" i="6"/>
  <c r="BH32" i="6"/>
  <c r="AW30" i="6"/>
  <c r="AO30" i="6"/>
  <c r="BH31" i="6"/>
  <c r="AQ30" i="6"/>
  <c r="Y31" i="6"/>
  <c r="AM29" i="6"/>
  <c r="O29" i="6" s="1"/>
  <c r="BH28" i="6"/>
  <c r="AM28" i="6"/>
  <c r="BH27" i="6"/>
  <c r="BH26" i="6"/>
  <c r="O26" i="6" s="1"/>
  <c r="BH24" i="6"/>
  <c r="AZ21" i="6"/>
  <c r="AR21" i="6"/>
  <c r="BE21" i="6"/>
  <c r="AW21" i="6"/>
  <c r="AO21" i="6"/>
  <c r="AD21" i="6"/>
  <c r="AM21" i="6" s="1"/>
  <c r="BH20" i="6"/>
  <c r="O20" i="6" s="1"/>
  <c r="BI18" i="6"/>
  <c r="BH17" i="6"/>
  <c r="AM17" i="6"/>
  <c r="P16" i="6"/>
  <c r="W16" i="6"/>
  <c r="BH15" i="6"/>
  <c r="AQ14" i="6"/>
  <c r="AF14" i="6"/>
  <c r="F14" i="6"/>
  <c r="BG49" i="6"/>
  <c r="AL49" i="6"/>
  <c r="AN48" i="6"/>
  <c r="P48" i="6" s="1"/>
  <c r="I46" i="6"/>
  <c r="X44" i="6"/>
  <c r="P42" i="6"/>
  <c r="U42" i="6" s="1"/>
  <c r="V42" i="6" s="1"/>
  <c r="AM42" i="6"/>
  <c r="O42" i="6" s="1"/>
  <c r="BI41" i="6"/>
  <c r="BH37" i="6"/>
  <c r="O37" i="6" s="1"/>
  <c r="Y37" i="6"/>
  <c r="BG35" i="6"/>
  <c r="N35" i="6" s="1"/>
  <c r="AL34" i="6"/>
  <c r="N34" i="6" s="1"/>
  <c r="AL32" i="6"/>
  <c r="N32" i="6" s="1"/>
  <c r="L30" i="6"/>
  <c r="AX30" i="6"/>
  <c r="BG30" i="6" s="1"/>
  <c r="AP30" i="6"/>
  <c r="AF30" i="6"/>
  <c r="F30" i="6"/>
  <c r="Y28" i="6"/>
  <c r="BG26" i="6"/>
  <c r="N26" i="6" s="1"/>
  <c r="Y26" i="6"/>
  <c r="AL24" i="6"/>
  <c r="N24" i="6" s="1"/>
  <c r="AF21" i="6"/>
  <c r="H21" i="6"/>
  <c r="BD21" i="6"/>
  <c r="AK21" i="6"/>
  <c r="AC21" i="6"/>
  <c r="W20" i="6"/>
  <c r="W19" i="6"/>
  <c r="AL17" i="6"/>
  <c r="N17" i="6" s="1"/>
  <c r="W17" i="6"/>
  <c r="AL16" i="6"/>
  <c r="AX14" i="6"/>
  <c r="AP14" i="6"/>
  <c r="AE14" i="6"/>
  <c r="M14" i="6"/>
  <c r="E14" i="6"/>
  <c r="Y46" i="6"/>
  <c r="P52" i="6"/>
  <c r="O48" i="6"/>
  <c r="R51" i="6"/>
  <c r="U51" i="6"/>
  <c r="V51" i="6" s="1"/>
  <c r="N48" i="6"/>
  <c r="N49" i="6"/>
  <c r="U48" i="6"/>
  <c r="V48" i="6" s="1"/>
  <c r="R48" i="6"/>
  <c r="Y51" i="6"/>
  <c r="AX50" i="6"/>
  <c r="BI47" i="6"/>
  <c r="AD46" i="6"/>
  <c r="AM44" i="6"/>
  <c r="AY39" i="6"/>
  <c r="AQ39" i="6"/>
  <c r="BC39" i="6"/>
  <c r="AU39" i="6"/>
  <c r="AK39" i="6"/>
  <c r="BH47" i="6"/>
  <c r="O47" i="6" s="1"/>
  <c r="T47" i="6"/>
  <c r="AC46" i="6"/>
  <c r="S39" i="6"/>
  <c r="BB39" i="6"/>
  <c r="AJ39" i="6"/>
  <c r="AB39" i="6"/>
  <c r="L39" i="6"/>
  <c r="AM51" i="6"/>
  <c r="W51" i="6"/>
  <c r="BG47" i="6"/>
  <c r="AW39" i="6"/>
  <c r="AO39" i="6"/>
  <c r="AD39" i="6"/>
  <c r="Q39" i="6"/>
  <c r="F39" i="6"/>
  <c r="BA39" i="6"/>
  <c r="AS39" i="6"/>
  <c r="P19" i="6"/>
  <c r="N16" i="6"/>
  <c r="AL51" i="6"/>
  <c r="N51" i="6" s="1"/>
  <c r="G50" i="6"/>
  <c r="N42" i="6"/>
  <c r="M39" i="6"/>
  <c r="E39" i="6"/>
  <c r="AZ39" i="6"/>
  <c r="AR39" i="6"/>
  <c r="AH39" i="6"/>
  <c r="J39" i="6"/>
  <c r="J53" i="6" s="1"/>
  <c r="O24" i="6"/>
  <c r="N19" i="6"/>
  <c r="O19" i="6"/>
  <c r="Z46" i="6"/>
  <c r="U15" i="6"/>
  <c r="V15" i="6" s="1"/>
  <c r="R15" i="6"/>
  <c r="BH51" i="6"/>
  <c r="X47" i="6"/>
  <c r="N45" i="6"/>
  <c r="AT39" i="6"/>
  <c r="AI39" i="6"/>
  <c r="AA39" i="6"/>
  <c r="K39" i="6"/>
  <c r="BF39" i="6"/>
  <c r="AX39" i="6"/>
  <c r="AP39" i="6"/>
  <c r="AF39" i="6"/>
  <c r="H39" i="6"/>
  <c r="O33" i="6"/>
  <c r="P31" i="6"/>
  <c r="P23" i="6"/>
  <c r="N23" i="6"/>
  <c r="W47" i="6"/>
  <c r="AF46" i="6"/>
  <c r="BE39" i="6"/>
  <c r="AE39" i="6"/>
  <c r="G39" i="6"/>
  <c r="P38" i="6"/>
  <c r="R36" i="6"/>
  <c r="U36" i="6"/>
  <c r="V36" i="6" s="1"/>
  <c r="U16" i="6"/>
  <c r="V16" i="6" s="1"/>
  <c r="R16" i="6"/>
  <c r="AG39" i="6"/>
  <c r="I39" i="6"/>
  <c r="BD39" i="6"/>
  <c r="BD53" i="6" s="1"/>
  <c r="AV39" i="6"/>
  <c r="AV53" i="6" s="1"/>
  <c r="X30" i="6"/>
  <c r="BH41" i="6"/>
  <c r="T41" i="6"/>
  <c r="BI40" i="6"/>
  <c r="BG31" i="6"/>
  <c r="N31" i="6" s="1"/>
  <c r="AB30" i="6"/>
  <c r="BH22" i="6"/>
  <c r="T22" i="6"/>
  <c r="BG15" i="6"/>
  <c r="AC39" i="6"/>
  <c r="Y32" i="6"/>
  <c r="AY30" i="6"/>
  <c r="BH30" i="6" s="1"/>
  <c r="AA30" i="6"/>
  <c r="AY14" i="6"/>
  <c r="BH14" i="6" s="1"/>
  <c r="AI14" i="6"/>
  <c r="AA14" i="6"/>
  <c r="BG40" i="6"/>
  <c r="N40" i="6" s="1"/>
  <c r="AN32" i="6"/>
  <c r="X32" i="6"/>
  <c r="BF30" i="6"/>
  <c r="AH30" i="6"/>
  <c r="AN30" i="6" s="1"/>
  <c r="Z30" i="6"/>
  <c r="Y23" i="6"/>
  <c r="AI21" i="6"/>
  <c r="AL21" i="6" s="1"/>
  <c r="AA21" i="6"/>
  <c r="K21" i="6"/>
  <c r="W21" i="6" s="1"/>
  <c r="Y15" i="6"/>
  <c r="BF14" i="6"/>
  <c r="AH14" i="6"/>
  <c r="Z14" i="6"/>
  <c r="AM32" i="6"/>
  <c r="O32" i="6" s="1"/>
  <c r="X31" i="6"/>
  <c r="Q30" i="6"/>
  <c r="T30" i="6" s="1"/>
  <c r="Y22" i="6"/>
  <c r="X15" i="6"/>
  <c r="Q14" i="6"/>
  <c r="X41" i="6"/>
  <c r="Y40" i="6"/>
  <c r="Z39" i="6"/>
  <c r="AM31" i="6"/>
  <c r="O31" i="6" s="1"/>
  <c r="W31" i="6"/>
  <c r="AN22" i="6"/>
  <c r="P22" i="6" s="1"/>
  <c r="X22" i="6"/>
  <c r="AM15" i="6"/>
  <c r="W15" i="6"/>
  <c r="AM41" i="6"/>
  <c r="BI32" i="6"/>
  <c r="AM22" i="6"/>
  <c r="P35" i="6" l="1"/>
  <c r="P40" i="6"/>
  <c r="P26" i="6"/>
  <c r="BI30" i="6"/>
  <c r="T14" i="6"/>
  <c r="O22" i="6"/>
  <c r="AQ53" i="6"/>
  <c r="O44" i="6"/>
  <c r="P37" i="6"/>
  <c r="U37" i="6" s="1"/>
  <c r="AN14" i="6"/>
  <c r="O36" i="6"/>
  <c r="O15" i="6"/>
  <c r="F53" i="6"/>
  <c r="AP53" i="6"/>
  <c r="W14" i="6"/>
  <c r="AF53" i="6"/>
  <c r="BI50" i="6"/>
  <c r="N25" i="6"/>
  <c r="AN46" i="6"/>
  <c r="P46" i="6" s="1"/>
  <c r="P29" i="6"/>
  <c r="U29" i="6" s="1"/>
  <c r="V29" i="6" s="1"/>
  <c r="X14" i="6"/>
  <c r="BI21" i="6"/>
  <c r="AN39" i="6"/>
  <c r="O17" i="6"/>
  <c r="U28" i="6"/>
  <c r="V28" i="6" s="1"/>
  <c r="R28" i="6"/>
  <c r="O18" i="6"/>
  <c r="W50" i="6"/>
  <c r="AS53" i="6"/>
  <c r="AN21" i="6"/>
  <c r="P34" i="6"/>
  <c r="R34" i="6" s="1"/>
  <c r="P43" i="6"/>
  <c r="U43" i="6" s="1"/>
  <c r="V43" i="6" s="1"/>
  <c r="BG14" i="6"/>
  <c r="X46" i="6"/>
  <c r="AM46" i="6"/>
  <c r="AK53" i="6"/>
  <c r="P24" i="6"/>
  <c r="R24" i="6" s="1"/>
  <c r="BE53" i="6"/>
  <c r="AJ53" i="6"/>
  <c r="BG21" i="6"/>
  <c r="AL30" i="6"/>
  <c r="N30" i="6" s="1"/>
  <c r="AG53" i="6"/>
  <c r="N18" i="6"/>
  <c r="R42" i="6"/>
  <c r="U20" i="6"/>
  <c r="V20" i="6" s="1"/>
  <c r="BB53" i="6"/>
  <c r="H53" i="6"/>
  <c r="AR53" i="6"/>
  <c r="O46" i="6"/>
  <c r="N52" i="6"/>
  <c r="BH50" i="6"/>
  <c r="O50" i="6" s="1"/>
  <c r="O41" i="6"/>
  <c r="Y14" i="6"/>
  <c r="N43" i="6"/>
  <c r="Y21" i="6"/>
  <c r="AM30" i="6"/>
  <c r="N28" i="6"/>
  <c r="N20" i="6"/>
  <c r="O43" i="6"/>
  <c r="AL14" i="6"/>
  <c r="BA53" i="6"/>
  <c r="N47" i="6"/>
  <c r="P47" i="6"/>
  <c r="R47" i="6" s="1"/>
  <c r="P50" i="6"/>
  <c r="U50" i="6" s="1"/>
  <c r="V50" i="6" s="1"/>
  <c r="Y30" i="6"/>
  <c r="AB53" i="6"/>
  <c r="L53" i="6"/>
  <c r="O28" i="6"/>
  <c r="P45" i="6"/>
  <c r="R45" i="6" s="1"/>
  <c r="N21" i="6"/>
  <c r="BI14" i="6"/>
  <c r="P14" i="6" s="1"/>
  <c r="BC53" i="6"/>
  <c r="P21" i="6"/>
  <c r="R21" i="6" s="1"/>
  <c r="U25" i="6"/>
  <c r="V25" i="6" s="1"/>
  <c r="E53" i="6"/>
  <c r="AO53" i="6"/>
  <c r="P32" i="6"/>
  <c r="U32" i="6" s="1"/>
  <c r="V32" i="6" s="1"/>
  <c r="AL39" i="6"/>
  <c r="M53" i="6"/>
  <c r="AW53" i="6"/>
  <c r="X21" i="6"/>
  <c r="AU53" i="6"/>
  <c r="N15" i="6"/>
  <c r="I53" i="6"/>
  <c r="AT53" i="6"/>
  <c r="P41" i="6"/>
  <c r="U41" i="6" s="1"/>
  <c r="V41" i="6" s="1"/>
  <c r="Q53" i="6"/>
  <c r="U44" i="6"/>
  <c r="V44" i="6" s="1"/>
  <c r="R44" i="6"/>
  <c r="R17" i="6"/>
  <c r="U17" i="6"/>
  <c r="V17" i="6" s="1"/>
  <c r="R26" i="6"/>
  <c r="U26" i="6"/>
  <c r="V26" i="6" s="1"/>
  <c r="R33" i="6"/>
  <c r="U33" i="6"/>
  <c r="V33" i="6" s="1"/>
  <c r="O51" i="6"/>
  <c r="BF53" i="6"/>
  <c r="AY53" i="6"/>
  <c r="O27" i="6"/>
  <c r="K53" i="6"/>
  <c r="BH21" i="6"/>
  <c r="O21" i="6" s="1"/>
  <c r="AM14" i="6"/>
  <c r="O14" i="6" s="1"/>
  <c r="W46" i="6"/>
  <c r="AA53" i="6"/>
  <c r="AI53" i="6"/>
  <c r="Z53" i="6"/>
  <c r="N33" i="6"/>
  <c r="P49" i="6"/>
  <c r="AH53" i="6"/>
  <c r="P18" i="6"/>
  <c r="BG46" i="6"/>
  <c r="W30" i="6"/>
  <c r="R40" i="6"/>
  <c r="U40" i="6"/>
  <c r="V40" i="6" s="1"/>
  <c r="U47" i="6"/>
  <c r="V47" i="6" s="1"/>
  <c r="U22" i="6"/>
  <c r="V22" i="6" s="1"/>
  <c r="R22" i="6"/>
  <c r="R32" i="6"/>
  <c r="T39" i="6"/>
  <c r="S53" i="6"/>
  <c r="O30" i="6"/>
  <c r="G53" i="6"/>
  <c r="Y50" i="6"/>
  <c r="AM39" i="6"/>
  <c r="AL46" i="6"/>
  <c r="N14" i="6"/>
  <c r="R27" i="6"/>
  <c r="U27" i="6"/>
  <c r="V27" i="6" s="1"/>
  <c r="BG50" i="6"/>
  <c r="N50" i="6" s="1"/>
  <c r="AX53" i="6"/>
  <c r="BG53" i="6" s="1"/>
  <c r="U23" i="6"/>
  <c r="V23" i="6" s="1"/>
  <c r="R23" i="6"/>
  <c r="R38" i="6"/>
  <c r="U38" i="6"/>
  <c r="V38" i="6" s="1"/>
  <c r="BI39" i="6"/>
  <c r="Y39" i="6"/>
  <c r="W39" i="6"/>
  <c r="R19" i="6"/>
  <c r="U19" i="6"/>
  <c r="V19" i="6" s="1"/>
  <c r="AC53" i="6"/>
  <c r="BH39" i="6"/>
  <c r="AE53" i="6"/>
  <c r="AD53" i="6"/>
  <c r="R52" i="6"/>
  <c r="U52" i="6"/>
  <c r="V52" i="6" s="1"/>
  <c r="P30" i="6"/>
  <c r="U31" i="6"/>
  <c r="V31" i="6" s="1"/>
  <c r="R31" i="6"/>
  <c r="BG39" i="6"/>
  <c r="R35" i="6"/>
  <c r="U35" i="6"/>
  <c r="V35" i="6" s="1"/>
  <c r="X39" i="6"/>
  <c r="AZ53" i="6"/>
  <c r="AS1" i="31"/>
  <c r="U24" i="6" l="1"/>
  <c r="V24" i="6" s="1"/>
  <c r="U34" i="6"/>
  <c r="V34" i="6" s="1"/>
  <c r="R43" i="6"/>
  <c r="U45" i="6"/>
  <c r="V45" i="6" s="1"/>
  <c r="R46" i="6"/>
  <c r="U46" i="6"/>
  <c r="V46" i="6" s="1"/>
  <c r="AN53" i="6"/>
  <c r="R50" i="6"/>
  <c r="P39" i="6"/>
  <c r="R39" i="6" s="1"/>
  <c r="R29" i="6"/>
  <c r="AM53" i="6"/>
  <c r="W53" i="6"/>
  <c r="X53" i="6"/>
  <c r="BH53" i="6"/>
  <c r="N46" i="6"/>
  <c r="T53" i="6"/>
  <c r="U21" i="6"/>
  <c r="V21" i="6" s="1"/>
  <c r="N39" i="6"/>
  <c r="O39" i="6"/>
  <c r="R41" i="6"/>
  <c r="Y53" i="6"/>
  <c r="R18" i="6"/>
  <c r="U18" i="6"/>
  <c r="V18" i="6" s="1"/>
  <c r="R49" i="6"/>
  <c r="U49" i="6"/>
  <c r="V49" i="6" s="1"/>
  <c r="AL53" i="6"/>
  <c r="N53" i="6" s="1"/>
  <c r="BI53" i="6"/>
  <c r="U14" i="6"/>
  <c r="V14" i="6" s="1"/>
  <c r="R14" i="6"/>
  <c r="U30" i="6"/>
  <c r="V30" i="6" s="1"/>
  <c r="R30" i="6"/>
  <c r="U39" i="6"/>
  <c r="V39" i="6" s="1"/>
  <c r="B2" i="32"/>
  <c r="P53" i="6" l="1"/>
  <c r="O53" i="6"/>
  <c r="R53" i="6"/>
  <c r="U53" i="6"/>
  <c r="V53" i="6" s="1"/>
  <c r="A2" i="32"/>
  <c r="D2" i="32" l="1"/>
  <c r="C2" i="32"/>
  <c r="N5" i="6" l="1"/>
  <c r="I13" i="28" l="1"/>
  <c r="I11" i="28"/>
  <c r="I9" i="28"/>
  <c r="I8" i="28"/>
  <c r="H13" i="28"/>
  <c r="H11" i="28"/>
  <c r="H9" i="28"/>
  <c r="H8" i="28"/>
  <c r="G13" i="28"/>
  <c r="G11" i="28"/>
  <c r="G9" i="28"/>
  <c r="G8" i="28"/>
  <c r="H14" i="28" l="1"/>
  <c r="G14" i="28"/>
  <c r="I14" i="28"/>
  <c r="J9" i="28" l="1"/>
  <c r="J13" i="28"/>
  <c r="J11" i="28"/>
  <c r="J8" i="28"/>
  <c r="J14" i="28" l="1"/>
  <c r="K21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21" i="9"/>
  <c r="J15" i="9"/>
  <c r="J14" i="9"/>
  <c r="J13" i="9"/>
  <c r="J12" i="9"/>
  <c r="J11" i="9"/>
  <c r="J10" i="9"/>
  <c r="F20" i="9"/>
  <c r="F19" i="9"/>
  <c r="F18" i="9"/>
  <c r="F17" i="9"/>
  <c r="F16" i="9"/>
  <c r="C20" i="9"/>
  <c r="C19" i="9"/>
  <c r="C18" i="9"/>
  <c r="C17" i="9"/>
  <c r="C16" i="9"/>
  <c r="C15" i="9"/>
  <c r="C14" i="9"/>
  <c r="C13" i="9"/>
  <c r="C12" i="9"/>
  <c r="C11" i="9"/>
  <c r="C10" i="9"/>
  <c r="J9" i="9"/>
  <c r="J8" i="9"/>
  <c r="J7" i="9"/>
  <c r="J6" i="9"/>
  <c r="J5" i="9"/>
  <c r="J4" i="9"/>
  <c r="J3" i="9"/>
  <c r="J2" i="9"/>
  <c r="A9" i="9"/>
  <c r="A8" i="9"/>
  <c r="A7" i="9"/>
  <c r="A6" i="9"/>
  <c r="A5" i="9"/>
  <c r="A4" i="9"/>
  <c r="A3" i="9"/>
  <c r="A2" i="9"/>
  <c r="BR3" i="4" l="1"/>
  <c r="CL3" i="4"/>
  <c r="CK3" i="4"/>
  <c r="BL3" i="4" s="1"/>
  <c r="CM3" i="4" s="1"/>
  <c r="CN3" i="4" s="1"/>
  <c r="BM3" i="4" l="1"/>
  <c r="BN3" i="4" s="1"/>
  <c r="L17" i="28"/>
  <c r="BO3" i="4" l="1"/>
  <c r="BP3" i="4"/>
  <c r="BQ3" i="4"/>
  <c r="G16" i="28"/>
  <c r="D11" i="28" l="1"/>
  <c r="D12" i="28"/>
  <c r="E11" i="28"/>
  <c r="K11" i="28" s="1"/>
  <c r="D10" i="28"/>
  <c r="E12" i="28"/>
  <c r="K12" i="28" s="1"/>
  <c r="E10" i="28"/>
  <c r="D15" i="28" l="1"/>
  <c r="E9" i="28"/>
  <c r="K9" i="28" s="1"/>
  <c r="D8" i="28"/>
  <c r="K10" i="28"/>
  <c r="E15" i="28"/>
  <c r="K15" i="28" s="1"/>
  <c r="E8" i="28"/>
  <c r="K8" i="28" l="1"/>
  <c r="D9" i="28" l="1"/>
  <c r="D13" i="28"/>
  <c r="E13" i="28"/>
  <c r="K13" i="28" s="1"/>
  <c r="D14" i="28" l="1"/>
  <c r="E14" i="28"/>
  <c r="F9" i="28" l="1"/>
  <c r="K14" i="28"/>
  <c r="F12" i="28"/>
  <c r="D16" i="28"/>
  <c r="F14" i="28"/>
  <c r="F10" i="28"/>
  <c r="F8" i="28"/>
  <c r="F11" i="28"/>
  <c r="F13" i="28"/>
  <c r="K16" i="28" l="1"/>
  <c r="N19" i="28" s="1"/>
  <c r="L10" i="28"/>
  <c r="L14" i="28"/>
  <c r="L8" i="28"/>
  <c r="L12" i="28"/>
  <c r="L9" i="28"/>
  <c r="L11" i="28"/>
  <c r="L13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Naveed Iqbal</author>
  </authors>
  <commentList>
    <comment ref="BN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1) PreOrder Date
2) If PreOrder Flag True+Have Start Ship: 4 Weeks before Start Ship. 
3) Else: Feature Date
4) Else: Start Ship Date
5) Else if NOS:
      1) 12 Days from Turn in 
      2) No turn in: 16 Days    
           from NOS Date
6) ELSE (no pub date from above + not NOS) 42 Days from Flagged for eCom</t>
        </r>
      </text>
    </comment>
    <comment ref="BO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T - Expected Pub Date
If Past the Pub Date: "Past + X Days"
</t>
        </r>
      </text>
    </comment>
    <comment ref="BP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Based on Current WF Step + Subsquent Team SLAs = Expected Pub Date.  Will Shift as Items Age with Current Team
Exceptions will not have an Expected WF Complete Date= "-"
</t>
        </r>
      </text>
    </comment>
    <comment ref="BQ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Variance between Expected PUB Date (based on PO dates) vs WF Complete Date.  
-/Red = X days DELAY to PUB Date
+/blank: X Days On Time/Early to Pub Date 
**Delay may not due to current team's SLA. Merchant SLA is a  good indication if process was started on time. Please refer to WF Dates to identify the Delay (SLAs)
</t>
        </r>
      </text>
    </comment>
  </commentList>
</comments>
</file>

<file path=xl/sharedStrings.xml><?xml version="1.0" encoding="utf-8"?>
<sst xmlns="http://schemas.openxmlformats.org/spreadsheetml/2006/main" count="796" uniqueCount="388">
  <si>
    <t xml:space="preserve"> </t>
  </si>
  <si>
    <t>Merchants</t>
  </si>
  <si>
    <t>Copy</t>
  </si>
  <si>
    <t>Studio</t>
  </si>
  <si>
    <t>Item Setup</t>
  </si>
  <si>
    <t>Team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</si>
  <si>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</si>
  <si>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</si>
  <si>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</si>
  <si>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</si>
  <si>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</si>
  <si>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</si>
  <si>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</si>
  <si>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</si>
  <si>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</si>
  <si>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 xml:space="preserve">DIVISION 3: MEN'S 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</si>
  <si>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</si>
  <si>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</si>
  <si>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</si>
  <si>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</si>
  <si>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</si>
  <si>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</si>
  <si>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</si>
  <si>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</si>
  <si>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</si>
  <si>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</si>
  <si>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</si>
  <si>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</si>
  <si>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</si>
  <si>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</si>
  <si>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</si>
  <si>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</si>
  <si>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</si>
  <si>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</si>
  <si>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</si>
  <si>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</si>
  <si>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</si>
  <si>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</si>
  <si>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</si>
  <si>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</si>
  <si>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</si>
  <si>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</si>
  <si>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</si>
  <si>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</si>
  <si>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</si>
  <si>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</si>
  <si>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</si>
  <si>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</si>
  <si>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</si>
  <si>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</si>
  <si>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</si>
  <si>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</si>
  <si>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</si>
  <si>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</si>
  <si>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</si>
  <si>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</si>
  <si>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</si>
  <si>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</si>
  <si>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</si>
  <si>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</si>
  <si>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</si>
  <si>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</si>
  <si>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</si>
  <si>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</si>
  <si>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</si>
  <si>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</si>
  <si>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</si>
  <si>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</si>
  <si>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Saks.Com Daily Workflow Status: Details (New Products)</t>
  </si>
  <si>
    <t>Group_ID</t>
  </si>
  <si>
    <t>Department_ID</t>
  </si>
  <si>
    <t>Class_ID</t>
  </si>
  <si>
    <t>ECOM_BRAND_NAME</t>
  </si>
  <si>
    <t>MANUFACTURER_NAME</t>
  </si>
  <si>
    <t>Short_Description</t>
  </si>
  <si>
    <t>MASTER_SVS</t>
  </si>
  <si>
    <t>ROLLUP_REFERENCE</t>
  </si>
  <si>
    <t>ACTIVE_PIM</t>
  </si>
  <si>
    <t>READYFORPROD_PIM</t>
  </si>
  <si>
    <t>PO_SHIP_DATE</t>
  </si>
  <si>
    <t>PO_Cancel_Date (Item/Min)</t>
  </si>
  <si>
    <t>DROPSHIP</t>
  </si>
  <si>
    <t>Feature_Date</t>
  </si>
  <si>
    <t>Selloff</t>
  </si>
  <si>
    <t>CREATED_ON_PIM</t>
  </si>
  <si>
    <t>Sample_vpi_requested</t>
  </si>
  <si>
    <t>turn_in_date</t>
  </si>
  <si>
    <t>Workflow_Type</t>
  </si>
  <si>
    <t>COPY_ATTRIBUTES_TASK_COMPLETE</t>
  </si>
  <si>
    <t>ITEM_SET_UP_TASK_COMPLETE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</si>
  <si>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</si>
  <si>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</si>
  <si>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</si>
  <si>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</si>
  <si>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</si>
  <si>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</si>
  <si>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</si>
  <si>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</si>
  <si>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</si>
  <si>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</si>
  <si>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</si>
  <si>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DIVISION_ID</t>
  </si>
  <si>
    <t>RAW_IMAGE_RECEIVED_DATE</t>
  </si>
  <si>
    <t>FINAL_IMAGE_RECEIVED_DATE</t>
  </si>
  <si>
    <t>LIFECYCLE_COMMENTS</t>
  </si>
  <si>
    <t>PO_Cancel_Date</t>
  </si>
  <si>
    <t>final_copy_task_complete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</si>
  <si>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</si>
  <si>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</si>
  <si>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</si>
  <si>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</si>
  <si>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</si>
  <si>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</si>
  <si>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</si>
  <si>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</si>
  <si>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</si>
  <si>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</si>
  <si>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</si>
  <si>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</si>
  <si>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</si>
  <si>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</si>
  <si>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</si>
  <si>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</si>
  <si>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</si>
  <si>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CLASS_NAME</t>
  </si>
  <si>
    <t>STRUCT_ASSIGN_MASTER_ATTR_HIER</t>
  </si>
  <si>
    <t>Order</t>
  </si>
  <si>
    <t>ID</t>
  </si>
  <si>
    <t>PRODUCT_ENTERED_WORKFLOW</t>
  </si>
  <si>
    <t>M.A.H Task Complete</t>
  </si>
  <si>
    <t>MAH_TASK_COMPLETE</t>
  </si>
  <si>
    <t>Revised_Workflow_Task</t>
  </si>
  <si>
    <t>REVISED_WORKFLOW_STATUS</t>
  </si>
  <si>
    <t>Awaiting Item Set Up Attribution and Sign Off</t>
  </si>
  <si>
    <t>Revised Workflow</t>
  </si>
  <si>
    <t>Original Current Workflow</t>
  </si>
  <si>
    <t>Image Check</t>
  </si>
  <si>
    <t>SLA_Column</t>
  </si>
  <si>
    <t xml:space="preserve">DIVISION 1: WOMEN'S PREMIER DESIGNER </t>
  </si>
  <si>
    <t>GRP 10: Designer RTW</t>
  </si>
  <si>
    <t>GRP 16: American Designer Collection</t>
  </si>
  <si>
    <t>GRP 22: Designer Lifestyle</t>
  </si>
  <si>
    <t>GRP 23: Advanced European</t>
  </si>
  <si>
    <t>GRP 24: Designer Evening</t>
  </si>
  <si>
    <t>DIVISION 2: WOMEN'S RTW</t>
  </si>
  <si>
    <t>GRP 5: Men's Private Brands</t>
  </si>
  <si>
    <t xml:space="preserve">GRP 30: Men's Accessories </t>
  </si>
  <si>
    <t>GRP 31: Men's Modern Designer</t>
  </si>
  <si>
    <t>GRP 33: Men's Luxury Collection</t>
  </si>
  <si>
    <t>GRP 62: Men's Advanced Designer</t>
  </si>
  <si>
    <t>GRP 63: Men's Shoes</t>
  </si>
  <si>
    <t>GRP 66: Men's Advanced Contemporary</t>
  </si>
  <si>
    <t xml:space="preserve">DIVISION 6: WOMEN'S ACCESSORIES  </t>
  </si>
  <si>
    <t>GRP 13: Fashion Jewelry</t>
  </si>
  <si>
    <t>GRP 18: Fine Jewelry</t>
  </si>
  <si>
    <t>GRP 19: Soft Accessories</t>
  </si>
  <si>
    <t>GRP 55: David Yurman</t>
  </si>
  <si>
    <t>GRP 36: Women's Shoes</t>
  </si>
  <si>
    <t>GRP 39: Handbags</t>
  </si>
  <si>
    <t>DIVISION 7: HOME &amp; GIFTS</t>
  </si>
  <si>
    <t>GRP 27: Drop Ship</t>
  </si>
  <si>
    <t>GRP 38: Gifts</t>
  </si>
  <si>
    <t>GRP 65: Gourmet Food &amp; Coll</t>
  </si>
  <si>
    <t>DIVISION 8: BEAUTY &amp; LINGERIE</t>
  </si>
  <si>
    <t>GRP 28: Fragrances</t>
  </si>
  <si>
    <t>GRP 29: Cosmetics</t>
  </si>
  <si>
    <t>GRP 37: Lingerie</t>
  </si>
  <si>
    <t>Translation Task Complete</t>
  </si>
  <si>
    <t>Item Set Up Task Complete</t>
  </si>
  <si>
    <t>Fur Approval Task Complete</t>
  </si>
  <si>
    <t>Workflow Complete</t>
  </si>
  <si>
    <t>Fur Workflow Complete</t>
  </si>
  <si>
    <t>PREORDER_FLAG</t>
  </si>
  <si>
    <t>SENT_TO_STUDIO</t>
  </si>
  <si>
    <t>FUR_ATTRIBUTES_TASK_COMPLETE</t>
  </si>
  <si>
    <t>FUR_APPROVAL_TASK_COMPLETE</t>
  </si>
  <si>
    <t>REWORK_STATUS</t>
  </si>
  <si>
    <t>ROLLUP_COMPLETE</t>
  </si>
  <si>
    <t>FUR_WORKFLOW_COMPLETE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</si>
  <si>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</si>
  <si>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</si>
  <si>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</si>
  <si>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</si>
  <si>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</si>
  <si>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</si>
  <si>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</si>
  <si>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Group</t>
  </si>
  <si>
    <t>Div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</si>
  <si>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</si>
  <si>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</si>
  <si>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</si>
  <si>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</si>
  <si>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</si>
  <si>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</si>
  <si>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-</t>
  </si>
  <si>
    <t xml:space="preserve">DIVISION     1                              </t>
  </si>
  <si>
    <t xml:space="preserve">DIVISION     2                              </t>
  </si>
  <si>
    <t xml:space="preserve">DIVISION     3                              </t>
  </si>
  <si>
    <t xml:space="preserve">DIVISION     6                              </t>
  </si>
  <si>
    <t xml:space="preserve">DIVISION     7                              </t>
  </si>
  <si>
    <t xml:space="preserve">DIVISION     8                              </t>
  </si>
  <si>
    <t>C-Status</t>
  </si>
  <si>
    <t>Sell off</t>
  </si>
  <si>
    <t>Exceptions</t>
  </si>
  <si>
    <t>NOS_ON_HAND</t>
  </si>
  <si>
    <t>NOS_TOTAL_RETAIL</t>
  </si>
  <si>
    <t>NOS_IND</t>
  </si>
  <si>
    <t>Missing</t>
  </si>
  <si>
    <t>Exceptions/SellOff/C Status</t>
  </si>
  <si>
    <t>Exception</t>
  </si>
  <si>
    <t>Not in PIM Workflow</t>
  </si>
  <si>
    <t>Ttl in Detail</t>
  </si>
  <si>
    <t>Ttl in Chart</t>
  </si>
  <si>
    <t>Not counted</t>
  </si>
  <si>
    <t>NOS %</t>
  </si>
  <si>
    <t>C-STATUS / SELL OFF / EXCEPTIONS</t>
  </si>
  <si>
    <t>TTL WH OH</t>
  </si>
  <si>
    <t>NOS $</t>
  </si>
  <si>
    <t>Rollup Product Workflow</t>
  </si>
  <si>
    <t>GRP 64: Men's Outerwear</t>
  </si>
  <si>
    <t>VPN</t>
  </si>
  <si>
    <t>WORKFLOW_EXCEPTION_TYPE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</si>
  <si>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</si>
  <si>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</si>
  <si>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</si>
  <si>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</si>
  <si>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</si>
  <si>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</si>
  <si>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</si>
  <si>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</si>
  <si>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 xml:space="preserve">Global Product No. </t>
  </si>
  <si>
    <t>PRODUCT_NO</t>
  </si>
  <si>
    <t>Saks.com Daily Workflow Summary Chart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</si>
  <si>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</si>
  <si>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</si>
  <si>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</si>
  <si>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</si>
  <si>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</si>
  <si>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</si>
  <si>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</si>
  <si>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DIV</t>
  </si>
  <si>
    <t>GROUP</t>
  </si>
  <si>
    <t>DIV,GROUP</t>
  </si>
  <si>
    <t>GLOBAL_PRODUCT</t>
  </si>
  <si>
    <t>Global Product?</t>
  </si>
  <si>
    <t>Not on Site by Team</t>
  </si>
  <si>
    <t>Product Copy</t>
  </si>
  <si>
    <t>C-Status, Sell Off, Exceptions</t>
  </si>
  <si>
    <t>PRODUCTS</t>
  </si>
  <si>
    <t>#</t>
  </si>
  <si>
    <t>$%</t>
  </si>
  <si>
    <t>ADDITIONAL COLORS/SIZES</t>
  </si>
  <si>
    <t>TOTAL (Products + Additional Color/Sizes)</t>
  </si>
  <si>
    <t>TTL WH $</t>
  </si>
  <si>
    <t># UPCs</t>
  </si>
  <si>
    <t># Products</t>
  </si>
  <si>
    <t>TTL NOS %</t>
  </si>
  <si>
    <t>ADDITIONAL COLOR/SIZES</t>
  </si>
  <si>
    <t>WH OO</t>
  </si>
  <si>
    <t>Dropship_RFS</t>
  </si>
  <si>
    <t>Studio_Status</t>
  </si>
  <si>
    <t>STUDIO_STATUS</t>
  </si>
  <si>
    <t>GRP 9: Advanced Designer Collection</t>
  </si>
  <si>
    <t>GRP 25: Contemporary</t>
  </si>
  <si>
    <t>GRP 14: Evening</t>
  </si>
  <si>
    <t>GRP 15: Modern</t>
  </si>
  <si>
    <t>GRP 60: Private Brand</t>
  </si>
  <si>
    <t>GRP 8: Salon Z (Sizes 14-24)</t>
  </si>
  <si>
    <t>GRP 11: Outerwear &amp; Swimwear</t>
  </si>
  <si>
    <t>GRP 35: Children's Wear</t>
  </si>
  <si>
    <t>IMAGE_TYPE</t>
  </si>
  <si>
    <t>COPY_TYPE</t>
  </si>
  <si>
    <t>Image Type</t>
  </si>
  <si>
    <t>Copy Type</t>
  </si>
  <si>
    <t>Pre-Order Date</t>
  </si>
  <si>
    <t>Pre-Order Flag</t>
  </si>
  <si>
    <t>PREORDER_DATE</t>
  </si>
  <si>
    <t>NOS Date</t>
  </si>
  <si>
    <t>NOS_DATE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</si>
  <si>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</si>
  <si>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</si>
  <si>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</si>
  <si>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</si>
  <si>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OH U</t>
  </si>
  <si>
    <t>OH $ @R</t>
  </si>
  <si>
    <t>Count (Super Vendor Style)</t>
  </si>
  <si>
    <t>MENS PVT BRANDS</t>
  </si>
  <si>
    <t>SALON Z</t>
  </si>
  <si>
    <t>ADVANCED DESIGNER</t>
  </si>
  <si>
    <t>DESIGNER RTW</t>
  </si>
  <si>
    <t>OUTERWEAR AND SWIMWEAR</t>
  </si>
  <si>
    <t>FASHION JEWELRY</t>
  </si>
  <si>
    <t>DRESS COLLECTIONS</t>
  </si>
  <si>
    <t>MODERN COLLECTIONS</t>
  </si>
  <si>
    <t>FINE JEWELRY</t>
  </si>
  <si>
    <t>SOFT ACCESSORIES</t>
  </si>
  <si>
    <t>DESIGNER LIFESTYLE</t>
  </si>
  <si>
    <t>ADVANCED EUROPEAN</t>
  </si>
  <si>
    <t>DESIGNER EVENING</t>
  </si>
  <si>
    <t>CONTEMPORARY SPORTSWEAR</t>
  </si>
  <si>
    <t>DROP SHIP PRGRM</t>
  </si>
  <si>
    <t>FRAGRANCES</t>
  </si>
  <si>
    <t>COSMETICS</t>
  </si>
  <si>
    <t>MEN ACCESSORIES</t>
  </si>
  <si>
    <t>MEN MODRN DSGN</t>
  </si>
  <si>
    <t>INACTIVE</t>
  </si>
  <si>
    <t>MEN LUXURY COLL</t>
  </si>
  <si>
    <t>CHILDREN'S WEAR</t>
  </si>
  <si>
    <t>WOMEN'S SHOES</t>
  </si>
  <si>
    <t>LINGERIE</t>
  </si>
  <si>
    <t>GIFTS</t>
  </si>
  <si>
    <t>HANDBAGS</t>
  </si>
  <si>
    <t>RECYCLE</t>
  </si>
  <si>
    <t>CHANEL HANDBAGS</t>
  </si>
  <si>
    <t>DAVID YURMAN</t>
  </si>
  <si>
    <t>FASHION STAR</t>
  </si>
  <si>
    <t>PRIVATE BRAND</t>
  </si>
  <si>
    <t>MEN ADVCD DSGNR</t>
  </si>
  <si>
    <t>MEN'S SHOES</t>
  </si>
  <si>
    <t>MEN'S OUTERWEAR</t>
  </si>
  <si>
    <t>GOURMET FOOD &amp; COLL</t>
  </si>
  <si>
    <t>MEN ADV CONTEMP</t>
  </si>
  <si>
    <t>X BANNER RTNS</t>
  </si>
  <si>
    <t>Workflow Aging</t>
  </si>
  <si>
    <t>NOS_PRICE_STATUS</t>
  </si>
  <si>
    <t>DESIGNER COLLECTIONS</t>
  </si>
  <si>
    <t>DIVISION</t>
  </si>
  <si>
    <t>SKU</t>
  </si>
  <si>
    <t>GLOBAL PRODUCT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</si>
  <si>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</si>
  <si>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</si>
  <si>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</si>
  <si>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</si>
  <si>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</si>
  <si>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</si>
  <si>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</si>
  <si>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</si>
  <si>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</si>
  <si>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</si>
  <si>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</si>
  <si>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</si>
  <si>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</si>
  <si>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</si>
  <si>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</si>
  <si>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</si>
  <si>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</si>
  <si>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</si>
  <si>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</si>
  <si>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</si>
  <si>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</si>
  <si>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</si>
  <si>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</si>
  <si>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TYPE (SAKS)</t>
  </si>
  <si>
    <t>CURRENT WORKFLOW STATUS (SAKS)</t>
  </si>
  <si>
    <t>CURRENT WORKFLOW STATUS IMAGE (SAKS)</t>
  </si>
  <si>
    <t>WORKFLOW EXCEPTION TYPE</t>
  </si>
  <si>
    <t>SEASON</t>
  </si>
  <si>
    <t>TURN_IN_DATE</t>
  </si>
  <si>
    <t>PUB_DATE</t>
  </si>
  <si>
    <t>FIRST_LIVE_DATE</t>
  </si>
  <si>
    <t>WORKFLOW_COMPLETE</t>
  </si>
  <si>
    <t>NEW_COLOR_IMAGE</t>
  </si>
  <si>
    <t>LIFECYCLE COMMENTS</t>
  </si>
  <si>
    <t>Team Owner</t>
  </si>
  <si>
    <t>Dupes removed</t>
  </si>
  <si>
    <t>Target Pub Date</t>
  </si>
  <si>
    <t>Final Image Received</t>
  </si>
  <si>
    <t>INACTIVE UPC TEAMS</t>
  </si>
  <si>
    <t>VENDOR_COPY_RECEIVED</t>
  </si>
  <si>
    <t>Vendor_Copy_Received</t>
  </si>
  <si>
    <t>LY MONTH AVG %</t>
  </si>
  <si>
    <t>% DIFFERENCE</t>
  </si>
  <si>
    <t>EXCEPTION_ITEM_COMMENTS</t>
  </si>
  <si>
    <t>ITEM_WORKFLOW_EXCEPTION_TYPE</t>
  </si>
  <si>
    <t>TODAY'S DATE</t>
  </si>
  <si>
    <t>NOS RECEIPTS $</t>
  </si>
  <si>
    <t>NOS PRODUCTS</t>
  </si>
  <si>
    <t>**Mondays - look at DM tab manually to pull weekend receipts</t>
  </si>
  <si>
    <t>Metrics</t>
  </si>
  <si>
    <t>Pasted from DM Inactive UPC</t>
  </si>
  <si>
    <t>MatchHeader</t>
  </si>
  <si>
    <t>ReplaceZero</t>
  </si>
  <si>
    <t>ConvertBooleanToYesNo</t>
  </si>
  <si>
    <t>Total</t>
  </si>
  <si>
    <t>SUM</t>
  </si>
  <si>
    <t>ROW_REFERENCE</t>
  </si>
  <si>
    <t>GenerateRowReference</t>
  </si>
  <si>
    <t>DM_Data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</si>
</sst>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800]dddd\,\ mmmm\ dd\,\ yyyy"/>
    <numFmt numFmtId="165" formatCode="0.0%"/>
    <numFmt numFmtId="166" formatCode="_(&quot;$&quot;* #,##0_);_(&quot;$&quot;* \(#,##0\);_(&quot;$&quot;* &quot;-&quot;??_);_(@_)"/>
    <numFmt numFmtId="167" formatCode="&quot;$&quot;#,##0"/>
    <numFmt numFmtId="168" formatCode="0_);[Red]\(0\)"/>
    <numFmt numFmtId="169" formatCode="&quot;$&quot;#,##0.00"/>
    <numFmt numFmtId="172" formatCode="\ _(* #,##0_);_(* \(#,##0\);_(* &quot;-&quot;??_);_(@_)"/>
  </numFmts>
  <fonts count="7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Times New Roman"/>
      <family val="1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Tahoma"/>
      <family val="2"/>
    </font>
    <font>
      <sz val="10"/>
      <color theme="0"/>
      <name val="Tahoma"/>
      <family val="2"/>
    </font>
    <font>
      <sz val="10"/>
      <color rgb="FFFF0000"/>
      <name val="Tahoma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3A2DB"/>
        <bgColor indexed="64"/>
      </patternFill>
    </fill>
    <fill>
      <patternFill patternType="solid">
        <fgColor rgb="FF2D6BB5"/>
        <bgColor indexed="64"/>
      </patternFill>
    </fill>
    <fill>
      <patternFill patternType="solid">
        <fgColor rgb="FF255997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6" fillId="7" borderId="0">
      <alignment horizontal="left" vertical="top"/>
    </xf>
    <xf numFmtId="0" fontId="10" fillId="0" borderId="0"/>
    <xf numFmtId="0" fontId="12" fillId="0" borderId="0">
      <alignment vertical="top"/>
    </xf>
    <xf numFmtId="0" fontId="4" fillId="0" borderId="0"/>
    <xf numFmtId="44" fontId="10" fillId="0" borderId="0" applyFont="0" applyFill="0" applyBorder="0" applyAlignment="0" applyProtection="0"/>
    <xf numFmtId="0" fontId="4" fillId="18" borderId="0" applyNumberFormat="0" applyBorder="0" applyAlignment="0" applyProtection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61" applyNumberFormat="0" applyFill="0" applyAlignment="0" applyProtection="0"/>
    <xf numFmtId="0" fontId="32" fillId="0" borderId="62" applyNumberFormat="0" applyFill="0" applyAlignment="0" applyProtection="0"/>
    <xf numFmtId="0" fontId="33" fillId="0" borderId="63" applyNumberFormat="0" applyFill="0" applyAlignment="0" applyProtection="0"/>
    <xf numFmtId="0" fontId="33" fillId="0" borderId="0" applyNumberFormat="0" applyFill="0" applyBorder="0" applyAlignment="0" applyProtection="0"/>
    <xf numFmtId="0" fontId="34" fillId="24" borderId="0" applyNumberFormat="0" applyBorder="0" applyAlignment="0" applyProtection="0"/>
    <xf numFmtId="0" fontId="35" fillId="25" borderId="0" applyNumberFormat="0" applyBorder="0" applyAlignment="0" applyProtection="0"/>
    <xf numFmtId="0" fontId="36" fillId="26" borderId="0" applyNumberFormat="0" applyBorder="0" applyAlignment="0" applyProtection="0"/>
    <xf numFmtId="0" fontId="37" fillId="27" borderId="64" applyNumberFormat="0" applyAlignment="0" applyProtection="0"/>
    <xf numFmtId="0" fontId="38" fillId="28" borderId="65" applyNumberFormat="0" applyAlignment="0" applyProtection="0"/>
    <xf numFmtId="0" fontId="39" fillId="28" borderId="64" applyNumberFormat="0" applyAlignment="0" applyProtection="0"/>
    <xf numFmtId="0" fontId="40" fillId="0" borderId="66" applyNumberFormat="0" applyFill="0" applyAlignment="0" applyProtection="0"/>
    <xf numFmtId="0" fontId="41" fillId="29" borderId="67" applyNumberFormat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1" fillId="0" borderId="69" applyNumberFormat="0" applyFill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0" borderId="0"/>
    <xf numFmtId="0" fontId="10" fillId="0" borderId="0"/>
    <xf numFmtId="0" fontId="10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5" fillId="63" borderId="0" applyNumberFormat="0" applyBorder="0" applyAlignment="0" applyProtection="0"/>
    <xf numFmtId="0" fontId="45" fillId="63" borderId="0" applyNumberFormat="0" applyBorder="0" applyAlignment="0" applyProtection="0"/>
    <xf numFmtId="0" fontId="45" fillId="60" borderId="0" applyNumberFormat="0" applyBorder="0" applyAlignment="0" applyProtection="0"/>
    <xf numFmtId="0" fontId="45" fillId="60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5" fillId="69" borderId="0" applyNumberFormat="0" applyBorder="0" applyAlignment="0" applyProtection="0"/>
    <xf numFmtId="0" fontId="45" fillId="69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45" fillId="70" borderId="0" applyNumberFormat="0" applyBorder="0" applyAlignment="0" applyProtection="0"/>
    <xf numFmtId="0" fontId="45" fillId="70" borderId="0" applyNumberFormat="0" applyBorder="0" applyAlignment="0" applyProtection="0"/>
    <xf numFmtId="0" fontId="46" fillId="54" borderId="0" applyNumberFormat="0" applyBorder="0" applyAlignment="0" applyProtection="0"/>
    <xf numFmtId="0" fontId="47" fillId="71" borderId="71" applyNumberFormat="0" applyAlignment="0" applyProtection="0"/>
    <xf numFmtId="0" fontId="48" fillId="72" borderId="72" applyNumberForma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1" fillId="55" borderId="0" applyNumberFormat="0" applyBorder="0" applyAlignment="0" applyProtection="0"/>
    <xf numFmtId="0" fontId="52" fillId="0" borderId="73" applyNumberFormat="0" applyFill="0" applyAlignment="0" applyProtection="0"/>
    <xf numFmtId="0" fontId="53" fillId="0" borderId="74" applyNumberFormat="0" applyFill="0" applyAlignment="0" applyProtection="0"/>
    <xf numFmtId="0" fontId="54" fillId="0" borderId="75" applyNumberFormat="0" applyFill="0" applyAlignment="0" applyProtection="0"/>
    <xf numFmtId="0" fontId="54" fillId="0" borderId="0" applyNumberFormat="0" applyFill="0" applyBorder="0" applyAlignment="0" applyProtection="0"/>
    <xf numFmtId="0" fontId="55" fillId="58" borderId="71" applyNumberFormat="0" applyAlignment="0" applyProtection="0"/>
    <xf numFmtId="0" fontId="56" fillId="0" borderId="76" applyNumberFormat="0" applyFill="0" applyAlignment="0" applyProtection="0"/>
    <xf numFmtId="0" fontId="57" fillId="73" borderId="0" applyNumberFormat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2" fillId="0" borderId="0">
      <alignment vertical="top"/>
    </xf>
    <xf numFmtId="0" fontId="29" fillId="0" borderId="0"/>
    <xf numFmtId="0" fontId="10" fillId="0" borderId="0"/>
    <xf numFmtId="0" fontId="12" fillId="0" borderId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 applyProtection="0"/>
    <xf numFmtId="0" fontId="12" fillId="0" borderId="0" applyProtection="0"/>
    <xf numFmtId="0" fontId="12" fillId="0" borderId="0">
      <alignment vertical="top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2" fillId="0" borderId="0">
      <alignment vertical="top"/>
    </xf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59" fillId="71" borderId="78" applyNumberFormat="0" applyAlignment="0" applyProtection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79" applyNumberFormat="0" applyFill="0" applyAlignment="0" applyProtection="0"/>
    <xf numFmtId="0" fontId="62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10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10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7" fillId="71" borderId="71" applyNumberFormat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54" fillId="0" borderId="75" applyNumberFormat="0" applyFill="0" applyAlignment="0" applyProtection="0"/>
    <xf numFmtId="0" fontId="55" fillId="58" borderId="71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59" fillId="71" borderId="78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1" fillId="0" borderId="79" applyNumberFormat="0" applyFill="0" applyAlignment="0" applyProtection="0"/>
    <xf numFmtId="0" fontId="4" fillId="0" borderId="0"/>
    <xf numFmtId="43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69">
    <xf numFmtId="0" fontId="0" fillId="0" borderId="0" xfId="0"/>
    <xf numFmtId="0" fontId="0" fillId="0" borderId="4" xfId="0" applyBorder="1"/>
    <xf numFmtId="0" fontId="5" fillId="0" borderId="0" xfId="0" applyFont="1"/>
    <xf numFmtId="0" fontId="1" fillId="0" borderId="0" xfId="0" applyFont="1"/>
    <xf numFmtId="0" fontId="0" fillId="8" borderId="0" xfId="0" applyFill="1"/>
    <xf numFmtId="0" fontId="9" fillId="8" borderId="25" xfId="0" applyFont="1" applyFill="1" applyBorder="1" applyAlignment="1">
      <alignment horizontal="center" vertical="center" wrapText="1"/>
    </xf>
    <xf numFmtId="0" fontId="16" fillId="0" borderId="0" xfId="0" applyFont="1"/>
    <xf numFmtId="0" fontId="15" fillId="17" borderId="0" xfId="0" applyFont="1" applyFill="1"/>
    <xf numFmtId="0" fontId="15" fillId="17" borderId="0" xfId="0" applyFont="1" applyFill="1" applyAlignment="1">
      <alignment wrapText="1"/>
    </xf>
    <xf numFmtId="0" fontId="0" fillId="19" borderId="0" xfId="0" applyFill="1"/>
    <xf numFmtId="0" fontId="18" fillId="18" borderId="36" xfId="10" applyFont="1" applyBorder="1"/>
    <xf numFmtId="0" fontId="18" fillId="18" borderId="21" xfId="10" applyFont="1" applyBorder="1"/>
    <xf numFmtId="0" fontId="18" fillId="18" borderId="37" xfId="10" applyFont="1" applyBorder="1"/>
    <xf numFmtId="0" fontId="18" fillId="18" borderId="20" xfId="10" applyFont="1" applyBorder="1"/>
    <xf numFmtId="0" fontId="18" fillId="18" borderId="12" xfId="10" applyFont="1" applyBorder="1"/>
    <xf numFmtId="0" fontId="3" fillId="18" borderId="8" xfId="10" quotePrefix="1" applyFont="1" applyBorder="1"/>
    <xf numFmtId="0" fontId="19" fillId="0" borderId="4" xfId="0" applyFont="1" applyBorder="1"/>
    <xf numFmtId="0" fontId="20" fillId="0" borderId="0" xfId="0" applyFont="1"/>
    <xf numFmtId="0" fontId="19" fillId="19" borderId="4" xfId="0" applyFont="1" applyFill="1" applyBorder="1"/>
    <xf numFmtId="0" fontId="21" fillId="0" borderId="0" xfId="0" applyFont="1"/>
    <xf numFmtId="0" fontId="19" fillId="0" borderId="6" xfId="0" applyFont="1" applyFill="1" applyBorder="1"/>
    <xf numFmtId="0" fontId="21" fillId="19" borderId="0" xfId="0" applyFont="1" applyFill="1"/>
    <xf numFmtId="0" fontId="23" fillId="0" borderId="0" xfId="0" applyFont="1" applyAlignment="1">
      <alignment horizontal="left" vertical="center" indent="1"/>
    </xf>
    <xf numFmtId="0" fontId="2" fillId="0" borderId="0" xfId="0" applyFont="1"/>
    <xf numFmtId="1" fontId="9" fillId="19" borderId="4" xfId="0" applyNumberFormat="1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 wrapText="1"/>
    </xf>
    <xf numFmtId="0" fontId="24" fillId="0" borderId="0" xfId="0" applyFont="1"/>
    <xf numFmtId="0" fontId="6" fillId="0" borderId="0" xfId="0" applyFont="1"/>
    <xf numFmtId="0" fontId="0" fillId="17" borderId="0" xfId="0" applyFill="1"/>
    <xf numFmtId="0" fontId="6" fillId="17" borderId="0" xfId="0" applyFont="1" applyFill="1"/>
    <xf numFmtId="0" fontId="21" fillId="17" borderId="0" xfId="0" applyFont="1" applyFill="1"/>
    <xf numFmtId="0" fontId="16" fillId="17" borderId="0" xfId="0" applyFont="1" applyFill="1"/>
    <xf numFmtId="1" fontId="9" fillId="19" borderId="7" xfId="0" applyNumberFormat="1" applyFont="1" applyFill="1" applyBorder="1" applyAlignment="1">
      <alignment horizontal="center" vertical="center"/>
    </xf>
    <xf numFmtId="0" fontId="11" fillId="8" borderId="0" xfId="0" applyFont="1" applyFill="1"/>
    <xf numFmtId="0" fontId="11" fillId="8" borderId="0" xfId="0" applyFont="1" applyFill="1" applyBorder="1"/>
    <xf numFmtId="0" fontId="11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11" fillId="8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/>
    </xf>
    <xf numFmtId="0" fontId="11" fillId="8" borderId="0" xfId="0" applyFont="1" applyFill="1" applyAlignment="1"/>
    <xf numFmtId="0" fontId="11" fillId="19" borderId="4" xfId="0" applyFont="1" applyFill="1" applyBorder="1" applyAlignment="1"/>
    <xf numFmtId="0" fontId="11" fillId="0" borderId="0" xfId="11" applyFont="1"/>
    <xf numFmtId="49" fontId="22" fillId="9" borderId="0" xfId="7" applyNumberFormat="1" applyFont="1" applyFill="1" applyBorder="1" applyAlignment="1">
      <alignment horizontal="left" vertical="center"/>
    </xf>
    <xf numFmtId="1" fontId="9" fillId="19" borderId="5" xfId="0" applyNumberFormat="1" applyFont="1" applyFill="1" applyBorder="1" applyAlignment="1">
      <alignment horizontal="center" vertical="center"/>
    </xf>
    <xf numFmtId="1" fontId="9" fillId="19" borderId="49" xfId="0" applyNumberFormat="1" applyFont="1" applyFill="1" applyBorder="1" applyAlignment="1">
      <alignment horizontal="center" vertical="center"/>
    </xf>
    <xf numFmtId="1" fontId="9" fillId="19" borderId="50" xfId="0" applyNumberFormat="1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 wrapText="1"/>
    </xf>
    <xf numFmtId="1" fontId="9" fillId="19" borderId="35" xfId="0" applyNumberFormat="1" applyFont="1" applyFill="1" applyBorder="1" applyAlignment="1">
      <alignment horizontal="center" vertical="center"/>
    </xf>
    <xf numFmtId="0" fontId="9" fillId="8" borderId="56" xfId="0" applyFont="1" applyFill="1" applyBorder="1" applyAlignment="1">
      <alignment horizontal="center" vertical="center" wrapText="1"/>
    </xf>
    <xf numFmtId="1" fontId="9" fillId="19" borderId="48" xfId="0" applyNumberFormat="1" applyFont="1" applyFill="1" applyBorder="1" applyAlignment="1">
      <alignment horizontal="center" vertical="center"/>
    </xf>
    <xf numFmtId="0" fontId="9" fillId="8" borderId="58" xfId="0" applyFont="1" applyFill="1" applyBorder="1" applyAlignment="1">
      <alignment horizontal="center" vertical="center" wrapText="1"/>
    </xf>
    <xf numFmtId="1" fontId="9" fillId="19" borderId="59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4" fillId="0" borderId="0" xfId="0" applyNumberFormat="1" applyFont="1"/>
    <xf numFmtId="1" fontId="21" fillId="19" borderId="0" xfId="0" applyNumberFormat="1" applyFont="1" applyFill="1"/>
    <xf numFmtId="1" fontId="21" fillId="0" borderId="0" xfId="0" applyNumberFormat="1" applyFont="1"/>
    <xf numFmtId="0" fontId="11" fillId="0" borderId="0" xfId="11" quotePrefix="1" applyFont="1"/>
    <xf numFmtId="0" fontId="11" fillId="8" borderId="20" xfId="0" applyFont="1" applyFill="1" applyBorder="1" applyAlignment="1">
      <alignment horizontal="center" vertical="center"/>
    </xf>
    <xf numFmtId="0" fontId="11" fillId="8" borderId="55" xfId="0" applyFont="1" applyFill="1" applyBorder="1" applyAlignment="1">
      <alignment horizontal="center" vertical="center"/>
    </xf>
    <xf numFmtId="0" fontId="11" fillId="0" borderId="60" xfId="12" applyFont="1" applyBorder="1" applyAlignment="1">
      <alignment horizontal="left" vertical="top"/>
    </xf>
    <xf numFmtId="166" fontId="11" fillId="8" borderId="0" xfId="0" applyNumberFormat="1" applyFont="1" applyFill="1"/>
    <xf numFmtId="166" fontId="9" fillId="19" borderId="7" xfId="0" applyNumberFormat="1" applyFont="1" applyFill="1" applyBorder="1" applyAlignment="1">
      <alignment horizontal="center" vertical="center"/>
    </xf>
    <xf numFmtId="166" fontId="9" fillId="19" borderId="4" xfId="0" applyNumberFormat="1" applyFont="1" applyFill="1" applyBorder="1" applyAlignment="1">
      <alignment horizontal="center" vertical="center"/>
    </xf>
    <xf numFmtId="166" fontId="11" fillId="8" borderId="0" xfId="0" applyNumberFormat="1" applyFont="1" applyFill="1" applyBorder="1"/>
    <xf numFmtId="1" fontId="9" fillId="8" borderId="14" xfId="0" applyNumberFormat="1" applyFont="1" applyFill="1" applyBorder="1" applyAlignment="1">
      <alignment horizontal="center" vertical="center" wrapText="1"/>
    </xf>
    <xf numFmtId="0" fontId="25" fillId="8" borderId="2" xfId="0" applyFont="1" applyFill="1" applyBorder="1" applyAlignment="1"/>
    <xf numFmtId="0" fontId="19" fillId="5" borderId="4" xfId="0" applyFont="1" applyFill="1" applyBorder="1"/>
    <xf numFmtId="1" fontId="11" fillId="8" borderId="0" xfId="0" applyNumberFormat="1" applyFont="1" applyFill="1"/>
    <xf numFmtId="2" fontId="11" fillId="8" borderId="0" xfId="0" applyNumberFormat="1" applyFont="1" applyFill="1"/>
    <xf numFmtId="0" fontId="21" fillId="75" borderId="0" xfId="0" applyFont="1" applyFill="1"/>
    <xf numFmtId="1" fontId="11" fillId="8" borderId="0" xfId="0" applyNumberFormat="1" applyFont="1" applyFill="1" applyAlignment="1">
      <alignment horizontal="center"/>
    </xf>
    <xf numFmtId="0" fontId="24" fillId="0" borderId="4" xfId="0" applyFont="1" applyBorder="1"/>
    <xf numFmtId="0" fontId="19" fillId="0" borderId="4" xfId="0" applyFont="1" applyFill="1" applyBorder="1"/>
    <xf numFmtId="49" fontId="11" fillId="8" borderId="0" xfId="0" applyNumberFormat="1" applyFont="1" applyFill="1" applyAlignment="1">
      <alignment horizontal="center"/>
    </xf>
    <xf numFmtId="0" fontId="10" fillId="4" borderId="4" xfId="8" applyFont="1" applyFill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166" fontId="10" fillId="4" borderId="4" xfId="9" applyNumberFormat="1" applyFont="1" applyFill="1" applyBorder="1" applyAlignment="1">
      <alignment horizontal="center" vertical="center" wrapText="1"/>
    </xf>
    <xf numFmtId="1" fontId="10" fillId="20" borderId="4" xfId="8" applyNumberFormat="1" applyFont="1" applyFill="1" applyBorder="1" applyAlignment="1">
      <alignment horizontal="center" vertical="center" wrapText="1"/>
    </xf>
    <xf numFmtId="1" fontId="10" fillId="4" borderId="4" xfId="8" applyNumberFormat="1" applyFont="1" applyFill="1" applyBorder="1" applyAlignment="1">
      <alignment horizontal="center" vertical="center" wrapText="1"/>
    </xf>
    <xf numFmtId="14" fontId="10" fillId="4" borderId="4" xfId="8" applyNumberFormat="1" applyFont="1" applyFill="1" applyBorder="1" applyAlignment="1">
      <alignment horizontal="center" vertical="center" wrapText="1"/>
    </xf>
    <xf numFmtId="0" fontId="7" fillId="11" borderId="4" xfId="8" applyFont="1" applyFill="1" applyBorder="1" applyAlignment="1">
      <alignment horizontal="center" vertical="center" wrapText="1"/>
    </xf>
    <xf numFmtId="0" fontId="14" fillId="12" borderId="4" xfId="8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14" fontId="24" fillId="0" borderId="0" xfId="0" applyNumberFormat="1" applyFont="1"/>
    <xf numFmtId="14" fontId="0" fillId="0" borderId="0" xfId="0" applyNumberFormat="1"/>
    <xf numFmtId="44" fontId="0" fillId="0" borderId="0" xfId="4" applyFont="1"/>
    <xf numFmtId="0" fontId="6" fillId="19" borderId="0" xfId="0" applyFont="1" applyFill="1"/>
    <xf numFmtId="0" fontId="65" fillId="0" borderId="0" xfId="0" applyFont="1"/>
    <xf numFmtId="0" fontId="6" fillId="0" borderId="19" xfId="0" applyFont="1" applyBorder="1" applyAlignment="1">
      <alignment horizontal="center" vertical="center" wrapText="1"/>
    </xf>
    <xf numFmtId="14" fontId="16" fillId="0" borderId="0" xfId="0" applyNumberFormat="1" applyFont="1"/>
    <xf numFmtId="14" fontId="0" fillId="0" borderId="19" xfId="0" applyNumberFormat="1" applyFont="1" applyBorder="1" applyAlignment="1">
      <alignment horizontal="center" vertical="center" wrapText="1"/>
    </xf>
    <xf numFmtId="14" fontId="6" fillId="0" borderId="0" xfId="0" applyNumberFormat="1" applyFont="1"/>
    <xf numFmtId="14" fontId="21" fillId="19" borderId="0" xfId="0" applyNumberFormat="1" applyFont="1" applyFill="1"/>
    <xf numFmtId="0" fontId="18" fillId="21" borderId="37" xfId="10" applyFont="1" applyFill="1" applyBorder="1"/>
    <xf numFmtId="0" fontId="19" fillId="21" borderId="4" xfId="0" applyFont="1" applyFill="1" applyBorder="1"/>
    <xf numFmtId="0" fontId="0" fillId="21" borderId="4" xfId="0" applyFill="1" applyBorder="1"/>
    <xf numFmtId="0" fontId="0" fillId="21" borderId="0" xfId="0" applyFill="1"/>
    <xf numFmtId="0" fontId="11" fillId="0" borderId="0" xfId="0" applyFont="1" applyFill="1"/>
    <xf numFmtId="2" fontId="11" fillId="0" borderId="0" xfId="0" applyNumberFormat="1" applyFont="1" applyFill="1"/>
    <xf numFmtId="0" fontId="20" fillId="0" borderId="4" xfId="0" applyFont="1" applyBorder="1"/>
    <xf numFmtId="0" fontId="6" fillId="0" borderId="91" xfId="0" applyFont="1" applyBorder="1"/>
    <xf numFmtId="0" fontId="6" fillId="19" borderId="91" xfId="0" applyFont="1" applyFill="1" applyBorder="1"/>
    <xf numFmtId="0" fontId="65" fillId="0" borderId="91" xfId="0" applyFont="1" applyBorder="1"/>
    <xf numFmtId="0" fontId="6" fillId="0" borderId="92" xfId="0" applyFont="1" applyBorder="1" applyAlignment="1">
      <alignment horizontal="center" vertical="center" wrapText="1"/>
    </xf>
    <xf numFmtId="0" fontId="10" fillId="0" borderId="0" xfId="11"/>
    <xf numFmtId="0" fontId="10" fillId="8" borderId="0" xfId="11" applyFill="1"/>
    <xf numFmtId="0" fontId="16" fillId="3" borderId="27" xfId="0" applyFont="1" applyFill="1" applyBorder="1" applyAlignment="1">
      <alignment horizontal="center"/>
    </xf>
    <xf numFmtId="0" fontId="10" fillId="8" borderId="0" xfId="11" applyFill="1" applyAlignment="1">
      <alignment horizontal="center"/>
    </xf>
    <xf numFmtId="0" fontId="10" fillId="0" borderId="0" xfId="11" applyAlignment="1">
      <alignment horizontal="center"/>
    </xf>
    <xf numFmtId="0" fontId="66" fillId="8" borderId="40" xfId="55814" applyFont="1" applyFill="1" applyBorder="1" applyAlignment="1">
      <alignment horizontal="center" vertical="center" wrapText="1"/>
    </xf>
    <xf numFmtId="0" fontId="1" fillId="8" borderId="82" xfId="11" applyFont="1" applyFill="1" applyBorder="1" applyAlignment="1">
      <alignment horizontal="center" vertical="center"/>
    </xf>
    <xf numFmtId="0" fontId="1" fillId="8" borderId="24" xfId="11" applyFont="1" applyFill="1" applyBorder="1" applyAlignment="1">
      <alignment horizontal="center" vertical="center"/>
    </xf>
    <xf numFmtId="0" fontId="1" fillId="8" borderId="25" xfId="11" applyFont="1" applyFill="1" applyBorder="1" applyAlignment="1">
      <alignment horizontal="center" vertical="center"/>
    </xf>
    <xf numFmtId="0" fontId="66" fillId="8" borderId="24" xfId="55814" applyFont="1" applyFill="1" applyBorder="1" applyAlignment="1">
      <alignment horizontal="center" vertical="center" wrapText="1"/>
    </xf>
    <xf numFmtId="0" fontId="1" fillId="8" borderId="1" xfId="11" applyFont="1" applyFill="1" applyBorder="1" applyAlignment="1">
      <alignment horizontal="center" vertical="center"/>
    </xf>
    <xf numFmtId="0" fontId="67" fillId="8" borderId="0" xfId="11" applyFont="1" applyFill="1" applyBorder="1" applyAlignment="1">
      <alignment horizontal="center"/>
    </xf>
    <xf numFmtId="0" fontId="4" fillId="8" borderId="93" xfId="11" applyFont="1" applyFill="1" applyBorder="1" applyAlignment="1">
      <alignment horizontal="center" vertical="center"/>
    </xf>
    <xf numFmtId="1" fontId="4" fillId="8" borderId="86" xfId="11" applyNumberFormat="1" applyFont="1" applyFill="1" applyBorder="1" applyAlignment="1">
      <alignment horizontal="center" vertical="center"/>
    </xf>
    <xf numFmtId="167" fontId="4" fillId="8" borderId="7" xfId="4" applyNumberFormat="1" applyFont="1" applyFill="1" applyBorder="1" applyAlignment="1">
      <alignment horizontal="center" vertical="center"/>
    </xf>
    <xf numFmtId="9" fontId="4" fillId="8" borderId="26" xfId="3" applyFont="1" applyFill="1" applyBorder="1" applyAlignment="1">
      <alignment horizontal="center" vertical="center"/>
    </xf>
    <xf numFmtId="3" fontId="4" fillId="8" borderId="86" xfId="6312" applyNumberFormat="1" applyFont="1" applyFill="1" applyBorder="1" applyAlignment="1">
      <alignment horizontal="center" vertical="center"/>
    </xf>
    <xf numFmtId="0" fontId="4" fillId="4" borderId="31" xfId="11" applyFont="1" applyFill="1" applyBorder="1" applyAlignment="1">
      <alignment horizontal="center" vertical="center"/>
    </xf>
    <xf numFmtId="0" fontId="4" fillId="4" borderId="94" xfId="11" applyFont="1" applyFill="1" applyBorder="1" applyAlignment="1">
      <alignment horizontal="center" vertical="center"/>
    </xf>
    <xf numFmtId="167" fontId="4" fillId="4" borderId="4" xfId="4" applyNumberFormat="1" applyFont="1" applyFill="1" applyBorder="1" applyAlignment="1">
      <alignment horizontal="center" vertical="center"/>
    </xf>
    <xf numFmtId="9" fontId="4" fillId="4" borderId="23" xfId="3" applyFont="1" applyFill="1" applyBorder="1" applyAlignment="1">
      <alignment horizontal="center" vertical="center"/>
    </xf>
    <xf numFmtId="0" fontId="4" fillId="13" borderId="31" xfId="11" applyFont="1" applyFill="1" applyBorder="1" applyAlignment="1">
      <alignment horizontal="center" vertical="center"/>
    </xf>
    <xf numFmtId="0" fontId="4" fillId="13" borderId="94" xfId="11" applyFont="1" applyFill="1" applyBorder="1" applyAlignment="1">
      <alignment horizontal="center" vertical="center"/>
    </xf>
    <xf numFmtId="167" fontId="4" fillId="13" borderId="4" xfId="4" applyNumberFormat="1" applyFont="1" applyFill="1" applyBorder="1" applyAlignment="1">
      <alignment horizontal="center" vertical="center"/>
    </xf>
    <xf numFmtId="9" fontId="4" fillId="13" borderId="23" xfId="3" applyFont="1" applyFill="1" applyBorder="1" applyAlignment="1">
      <alignment horizontal="center" vertical="center"/>
    </xf>
    <xf numFmtId="3" fontId="4" fillId="13" borderId="94" xfId="6312" applyNumberFormat="1" applyFont="1" applyFill="1" applyBorder="1" applyAlignment="1">
      <alignment horizontal="center" vertical="center"/>
    </xf>
    <xf numFmtId="0" fontId="4" fillId="77" borderId="31" xfId="11" applyFont="1" applyFill="1" applyBorder="1" applyAlignment="1">
      <alignment horizontal="center" vertical="center"/>
    </xf>
    <xf numFmtId="0" fontId="4" fillId="77" borderId="94" xfId="11" applyFont="1" applyFill="1" applyBorder="1" applyAlignment="1">
      <alignment horizontal="center" vertical="center"/>
    </xf>
    <xf numFmtId="167" fontId="4" fillId="77" borderId="4" xfId="4" applyNumberFormat="1" applyFont="1" applyFill="1" applyBorder="1" applyAlignment="1">
      <alignment horizontal="center" vertical="center"/>
    </xf>
    <xf numFmtId="9" fontId="4" fillId="77" borderId="23" xfId="3" applyFont="1" applyFill="1" applyBorder="1" applyAlignment="1">
      <alignment horizontal="center" vertical="center"/>
    </xf>
    <xf numFmtId="0" fontId="4" fillId="14" borderId="31" xfId="11" applyFont="1" applyFill="1" applyBorder="1" applyAlignment="1">
      <alignment horizontal="center" vertical="center"/>
    </xf>
    <xf numFmtId="1" fontId="4" fillId="14" borderId="94" xfId="11" applyNumberFormat="1" applyFont="1" applyFill="1" applyBorder="1" applyAlignment="1">
      <alignment horizontal="center" vertical="center"/>
    </xf>
    <xf numFmtId="167" fontId="4" fillId="14" borderId="4" xfId="4" applyNumberFormat="1" applyFont="1" applyFill="1" applyBorder="1" applyAlignment="1">
      <alignment horizontal="center" vertical="center"/>
    </xf>
    <xf numFmtId="9" fontId="4" fillId="14" borderId="23" xfId="3" applyFont="1" applyFill="1" applyBorder="1" applyAlignment="1">
      <alignment horizontal="center" vertical="center"/>
    </xf>
    <xf numFmtId="3" fontId="4" fillId="14" borderId="94" xfId="6312" applyNumberFormat="1" applyFont="1" applyFill="1" applyBorder="1" applyAlignment="1">
      <alignment horizontal="center" vertical="center"/>
    </xf>
    <xf numFmtId="0" fontId="1" fillId="78" borderId="107" xfId="11" applyFont="1" applyFill="1" applyBorder="1" applyAlignment="1">
      <alignment horizontal="center" vertical="center"/>
    </xf>
    <xf numFmtId="0" fontId="4" fillId="79" borderId="13" xfId="11" applyFont="1" applyFill="1" applyBorder="1" applyAlignment="1">
      <alignment horizontal="center" vertical="center"/>
    </xf>
    <xf numFmtId="3" fontId="4" fillId="79" borderId="104" xfId="11" applyNumberFormat="1" applyFont="1" applyFill="1" applyBorder="1" applyAlignment="1">
      <alignment horizontal="center" vertical="center"/>
    </xf>
    <xf numFmtId="167" fontId="4" fillId="79" borderId="6" xfId="4" applyNumberFormat="1" applyFont="1" applyFill="1" applyBorder="1" applyAlignment="1">
      <alignment horizontal="center" vertical="center"/>
    </xf>
    <xf numFmtId="9" fontId="4" fillId="79" borderId="105" xfId="3" applyFont="1" applyFill="1" applyBorder="1" applyAlignment="1">
      <alignment horizontal="center" vertical="center"/>
    </xf>
    <xf numFmtId="1" fontId="1" fillId="78" borderId="98" xfId="11" applyNumberFormat="1" applyFont="1" applyFill="1" applyBorder="1" applyAlignment="1">
      <alignment horizontal="center" vertical="center"/>
    </xf>
    <xf numFmtId="167" fontId="1" fillId="78" borderId="99" xfId="4" applyNumberFormat="1" applyFont="1" applyFill="1" applyBorder="1" applyAlignment="1">
      <alignment horizontal="center" vertical="center"/>
    </xf>
    <xf numFmtId="9" fontId="1" fillId="78" borderId="100" xfId="3" applyFont="1" applyFill="1" applyBorder="1" applyAlignment="1">
      <alignment horizontal="center" vertical="center"/>
    </xf>
    <xf numFmtId="3" fontId="1" fillId="78" borderId="98" xfId="6312" applyNumberFormat="1" applyFont="1" applyFill="1" applyBorder="1" applyAlignment="1">
      <alignment horizontal="center" vertical="center"/>
    </xf>
    <xf numFmtId="0" fontId="1" fillId="8" borderId="2" xfId="11" applyFont="1" applyFill="1" applyBorder="1" applyAlignment="1">
      <alignment horizontal="center" vertical="center"/>
    </xf>
    <xf numFmtId="3" fontId="4" fillId="13" borderId="4" xfId="6312" applyNumberFormat="1" applyFont="1" applyFill="1" applyBorder="1" applyAlignment="1">
      <alignment horizontal="center" vertical="center"/>
    </xf>
    <xf numFmtId="3" fontId="4" fillId="14" borderId="4" xfId="6312" applyNumberFormat="1" applyFont="1" applyFill="1" applyBorder="1" applyAlignment="1">
      <alignment horizontal="center" vertical="center"/>
    </xf>
    <xf numFmtId="3" fontId="1" fillId="78" borderId="99" xfId="6312" applyNumberFormat="1" applyFont="1" applyFill="1" applyBorder="1" applyAlignment="1">
      <alignment horizontal="center" vertical="center"/>
    </xf>
    <xf numFmtId="167" fontId="1" fillId="78" borderId="99" xfId="6312" applyNumberFormat="1" applyFont="1" applyFill="1" applyBorder="1" applyAlignment="1">
      <alignment horizontal="center" vertical="center"/>
    </xf>
    <xf numFmtId="167" fontId="4" fillId="13" borderId="4" xfId="6312" applyNumberFormat="1" applyFont="1" applyFill="1" applyBorder="1" applyAlignment="1">
      <alignment horizontal="center" vertical="center"/>
    </xf>
    <xf numFmtId="167" fontId="4" fillId="14" borderId="4" xfId="6312" applyNumberFormat="1" applyFont="1" applyFill="1" applyBorder="1" applyAlignment="1">
      <alignment horizontal="center" vertical="center"/>
    </xf>
    <xf numFmtId="9" fontId="4" fillId="4" borderId="34" xfId="3" applyFont="1" applyFill="1" applyBorder="1" applyAlignment="1">
      <alignment horizontal="center" vertical="center"/>
    </xf>
    <xf numFmtId="9" fontId="4" fillId="13" borderId="34" xfId="3" applyFont="1" applyFill="1" applyBorder="1" applyAlignment="1">
      <alignment horizontal="center" vertical="center"/>
    </xf>
    <xf numFmtId="9" fontId="4" fillId="14" borderId="34" xfId="3" applyFont="1" applyFill="1" applyBorder="1" applyAlignment="1">
      <alignment horizontal="center" vertical="center"/>
    </xf>
    <xf numFmtId="167" fontId="4" fillId="79" borderId="101" xfId="6312" applyNumberFormat="1" applyFont="1" applyFill="1" applyBorder="1" applyAlignment="1">
      <alignment horizontal="center" vertical="center"/>
    </xf>
    <xf numFmtId="9" fontId="4" fillId="79" borderId="39" xfId="3" applyFont="1" applyFill="1" applyBorder="1" applyAlignment="1">
      <alignment horizontal="center" vertical="center"/>
    </xf>
    <xf numFmtId="0" fontId="10" fillId="8" borderId="0" xfId="11" applyFill="1" applyBorder="1"/>
    <xf numFmtId="9" fontId="4" fillId="77" borderId="34" xfId="3" applyFont="1" applyFill="1" applyBorder="1" applyAlignment="1">
      <alignment horizontal="center" vertical="center"/>
    </xf>
    <xf numFmtId="9" fontId="1" fillId="78" borderId="103" xfId="3" applyFont="1" applyFill="1" applyBorder="1" applyAlignment="1">
      <alignment horizontal="center" vertical="center"/>
    </xf>
    <xf numFmtId="9" fontId="4" fillId="79" borderId="55" xfId="3" applyFont="1" applyFill="1" applyBorder="1" applyAlignment="1">
      <alignment horizontal="center" vertical="center"/>
    </xf>
    <xf numFmtId="167" fontId="4" fillId="4" borderId="94" xfId="6312" applyNumberFormat="1" applyFont="1" applyFill="1" applyBorder="1" applyAlignment="1">
      <alignment horizontal="center" vertical="center"/>
    </xf>
    <xf numFmtId="167" fontId="4" fillId="13" borderId="94" xfId="6312" applyNumberFormat="1" applyFont="1" applyFill="1" applyBorder="1" applyAlignment="1">
      <alignment horizontal="center" vertical="center"/>
    </xf>
    <xf numFmtId="167" fontId="4" fillId="77" borderId="94" xfId="6312" applyNumberFormat="1" applyFont="1" applyFill="1" applyBorder="1" applyAlignment="1">
      <alignment horizontal="center" vertical="center"/>
    </xf>
    <xf numFmtId="167" fontId="4" fillId="14" borderId="94" xfId="6312" applyNumberFormat="1" applyFont="1" applyFill="1" applyBorder="1" applyAlignment="1">
      <alignment horizontal="center" vertical="center"/>
    </xf>
    <xf numFmtId="167" fontId="1" fillId="78" borderId="98" xfId="6312" applyNumberFormat="1" applyFont="1" applyFill="1" applyBorder="1" applyAlignment="1">
      <alignment horizontal="center" vertical="center"/>
    </xf>
    <xf numFmtId="0" fontId="41" fillId="17" borderId="9" xfId="11" applyNumberFormat="1" applyFont="1" applyFill="1" applyBorder="1" applyAlignment="1">
      <alignment horizontal="center" vertical="center"/>
    </xf>
    <xf numFmtId="167" fontId="4" fillId="79" borderId="38" xfId="6312" applyNumberFormat="1" applyFont="1" applyFill="1" applyBorder="1" applyAlignment="1">
      <alignment horizontal="center" vertical="center"/>
    </xf>
    <xf numFmtId="167" fontId="4" fillId="8" borderId="86" xfId="3" applyNumberFormat="1" applyFont="1" applyFill="1" applyBorder="1" applyAlignment="1">
      <alignment horizontal="center" vertical="center"/>
    </xf>
    <xf numFmtId="0" fontId="41" fillId="8" borderId="0" xfId="11" applyFont="1" applyFill="1" applyBorder="1" applyAlignment="1">
      <alignment vertical="center"/>
    </xf>
    <xf numFmtId="167" fontId="1" fillId="8" borderId="0" xfId="11" applyNumberFormat="1" applyFont="1" applyFill="1" applyBorder="1" applyAlignment="1">
      <alignment vertical="center"/>
    </xf>
    <xf numFmtId="166" fontId="1" fillId="8" borderId="10" xfId="4" applyNumberFormat="1" applyFont="1" applyFill="1" applyBorder="1" applyAlignment="1">
      <alignment horizontal="center" vertical="center"/>
    </xf>
    <xf numFmtId="3" fontId="0" fillId="79" borderId="101" xfId="6312" applyNumberFormat="1" applyFont="1" applyFill="1" applyBorder="1" applyAlignment="1">
      <alignment horizontal="center" vertical="center"/>
    </xf>
    <xf numFmtId="3" fontId="0" fillId="4" borderId="94" xfId="6312" applyNumberFormat="1" applyFont="1" applyFill="1" applyBorder="1" applyAlignment="1">
      <alignment horizontal="center" vertical="center"/>
    </xf>
    <xf numFmtId="3" fontId="0" fillId="4" borderId="4" xfId="6312" applyNumberFormat="1" applyFont="1" applyFill="1" applyBorder="1" applyAlignment="1">
      <alignment horizontal="center" vertical="center"/>
    </xf>
    <xf numFmtId="167" fontId="0" fillId="4" borderId="4" xfId="6312" applyNumberFormat="1" applyFont="1" applyFill="1" applyBorder="1" applyAlignment="1">
      <alignment horizontal="center" vertical="center"/>
    </xf>
    <xf numFmtId="3" fontId="0" fillId="77" borderId="94" xfId="6312" applyNumberFormat="1" applyFont="1" applyFill="1" applyBorder="1" applyAlignment="1">
      <alignment horizontal="center" vertical="center"/>
    </xf>
    <xf numFmtId="3" fontId="0" fillId="77" borderId="4" xfId="6312" applyNumberFormat="1" applyFont="1" applyFill="1" applyBorder="1" applyAlignment="1">
      <alignment horizontal="center" vertical="center"/>
    </xf>
    <xf numFmtId="167" fontId="0" fillId="77" borderId="4" xfId="6312" applyNumberFormat="1" applyFont="1" applyFill="1" applyBorder="1" applyAlignment="1">
      <alignment horizontal="center" vertical="center"/>
    </xf>
    <xf numFmtId="3" fontId="10" fillId="8" borderId="0" xfId="11" applyNumberFormat="1" applyFill="1" applyAlignment="1">
      <alignment horizontal="center"/>
    </xf>
    <xf numFmtId="0" fontId="11" fillId="8" borderId="91" xfId="0" applyFont="1" applyFill="1" applyBorder="1" applyAlignment="1">
      <alignment horizontal="center" vertical="center"/>
    </xf>
    <xf numFmtId="0" fontId="9" fillId="8" borderId="47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0" fontId="63" fillId="82" borderId="52" xfId="7" applyNumberFormat="1" applyFont="1" applyFill="1" applyBorder="1" applyAlignment="1">
      <alignment horizontal="center" vertical="center"/>
    </xf>
    <xf numFmtId="0" fontId="63" fillId="82" borderId="18" xfId="7" applyNumberFormat="1" applyFont="1" applyFill="1" applyBorder="1" applyAlignment="1">
      <alignment horizontal="center" vertical="center"/>
    </xf>
    <xf numFmtId="166" fontId="8" fillId="19" borderId="59" xfId="4" applyNumberFormat="1" applyFont="1" applyFill="1" applyBorder="1" applyAlignment="1">
      <alignment horizontal="center" vertical="center"/>
    </xf>
    <xf numFmtId="166" fontId="9" fillId="19" borderId="109" xfId="4" applyNumberFormat="1" applyFont="1" applyFill="1" applyBorder="1" applyAlignment="1">
      <alignment horizontal="center" vertical="center"/>
    </xf>
    <xf numFmtId="0" fontId="9" fillId="8" borderId="119" xfId="0" applyFont="1" applyFill="1" applyBorder="1" applyAlignment="1">
      <alignment horizontal="center" vertical="center" wrapText="1"/>
    </xf>
    <xf numFmtId="166" fontId="9" fillId="19" borderId="125" xfId="0" applyNumberFormat="1" applyFont="1" applyFill="1" applyBorder="1" applyAlignment="1">
      <alignment horizontal="center" vertical="center"/>
    </xf>
    <xf numFmtId="166" fontId="9" fillId="19" borderId="44" xfId="0" applyNumberFormat="1" applyFont="1" applyFill="1" applyBorder="1" applyAlignment="1">
      <alignment horizontal="center" vertical="center"/>
    </xf>
    <xf numFmtId="166" fontId="8" fillId="19" borderId="126" xfId="4" applyNumberFormat="1" applyFont="1" applyFill="1" applyBorder="1" applyAlignment="1">
      <alignment horizontal="center" vertical="center"/>
    </xf>
    <xf numFmtId="166" fontId="9" fillId="19" borderId="127" xfId="4" applyNumberFormat="1" applyFont="1" applyFill="1" applyBorder="1" applyAlignment="1">
      <alignment horizontal="center" vertical="center"/>
    </xf>
    <xf numFmtId="0" fontId="9" fillId="8" borderId="43" xfId="0" applyFont="1" applyFill="1" applyBorder="1" applyAlignment="1">
      <alignment horizontal="center" vertical="center" wrapText="1"/>
    </xf>
    <xf numFmtId="49" fontId="9" fillId="76" borderId="112" xfId="7" applyNumberFormat="1" applyFont="1" applyFill="1" applyBorder="1" applyAlignment="1">
      <alignment horizontal="center" vertical="center"/>
    </xf>
    <xf numFmtId="49" fontId="22" fillId="21" borderId="113" xfId="7" applyNumberFormat="1" applyFont="1" applyFill="1" applyBorder="1" applyAlignment="1">
      <alignment horizontal="center" vertical="center"/>
    </xf>
    <xf numFmtId="49" fontId="22" fillId="9" borderId="113" xfId="7" applyNumberFormat="1" applyFont="1" applyFill="1" applyBorder="1" applyAlignment="1">
      <alignment horizontal="center" vertical="center"/>
    </xf>
    <xf numFmtId="49" fontId="9" fillId="76" borderId="85" xfId="7" applyNumberFormat="1" applyFont="1" applyFill="1" applyBorder="1" applyAlignment="1">
      <alignment horizontal="center" vertical="center"/>
    </xf>
    <xf numFmtId="49" fontId="22" fillId="21" borderId="114" xfId="7" applyNumberFormat="1" applyFont="1" applyFill="1" applyBorder="1" applyAlignment="1">
      <alignment horizontal="center" vertical="center"/>
    </xf>
    <xf numFmtId="49" fontId="9" fillId="82" borderId="115" xfId="7" applyNumberFormat="1" applyFont="1" applyFill="1" applyBorder="1" applyAlignment="1">
      <alignment horizontal="center" vertical="center"/>
    </xf>
    <xf numFmtId="0" fontId="8" fillId="8" borderId="0" xfId="0" applyFont="1" applyFill="1" applyBorder="1" applyAlignment="1">
      <alignment horizontal="center" vertical="center"/>
    </xf>
    <xf numFmtId="0" fontId="26" fillId="19" borderId="34" xfId="0" applyFont="1" applyFill="1" applyBorder="1" applyAlignment="1">
      <alignment horizontal="center" vertical="center"/>
    </xf>
    <xf numFmtId="0" fontId="8" fillId="19" borderId="48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8" fillId="19" borderId="34" xfId="0" applyFont="1" applyFill="1" applyBorder="1" applyAlignment="1">
      <alignment horizontal="center" vertical="center"/>
    </xf>
    <xf numFmtId="0" fontId="8" fillId="19" borderId="44" xfId="0" applyFont="1" applyFill="1" applyBorder="1" applyAlignment="1">
      <alignment horizontal="center" vertical="center"/>
    </xf>
    <xf numFmtId="0" fontId="8" fillId="19" borderId="35" xfId="0" applyFont="1" applyFill="1" applyBorder="1" applyAlignment="1">
      <alignment horizontal="center" vertical="center"/>
    </xf>
    <xf numFmtId="0" fontId="11" fillId="19" borderId="48" xfId="0" applyFont="1" applyFill="1" applyBorder="1" applyAlignment="1">
      <alignment horizontal="center" vertical="center"/>
    </xf>
    <xf numFmtId="0" fontId="11" fillId="19" borderId="44" xfId="0" applyFont="1" applyFill="1" applyBorder="1" applyAlignment="1">
      <alignment horizontal="center" vertical="center"/>
    </xf>
    <xf numFmtId="0" fontId="11" fillId="19" borderId="49" xfId="0" applyFont="1" applyFill="1" applyBorder="1" applyAlignment="1">
      <alignment horizontal="center" vertical="center"/>
    </xf>
    <xf numFmtId="0" fontId="11" fillId="19" borderId="50" xfId="0" applyFont="1" applyFill="1" applyBorder="1" applyAlignment="1">
      <alignment horizontal="center" vertical="center"/>
    </xf>
    <xf numFmtId="0" fontId="69" fillId="8" borderId="0" xfId="11" applyFont="1" applyFill="1" applyAlignment="1">
      <alignment horizontal="left"/>
    </xf>
    <xf numFmtId="0" fontId="69" fillId="8" borderId="0" xfId="11" applyFont="1" applyFill="1"/>
    <xf numFmtId="0" fontId="70" fillId="8" borderId="0" xfId="11" applyFont="1" applyFill="1"/>
    <xf numFmtId="0" fontId="1" fillId="8" borderId="0" xfId="1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" fillId="8" borderId="0" xfId="11" applyFont="1" applyFill="1" applyBorder="1" applyAlignment="1">
      <alignment horizontal="center" vertical="center" wrapText="1"/>
    </xf>
    <xf numFmtId="9" fontId="6" fillId="8" borderId="0" xfId="3" applyFont="1" applyFill="1" applyBorder="1" applyAlignment="1">
      <alignment horizontal="center" vertical="center"/>
    </xf>
    <xf numFmtId="9" fontId="66" fillId="8" borderId="0" xfId="3" applyFont="1" applyFill="1" applyBorder="1" applyAlignment="1">
      <alignment horizontal="center" vertical="center"/>
    </xf>
    <xf numFmtId="0" fontId="1" fillId="8" borderId="0" xfId="11" applyFont="1" applyFill="1" applyBorder="1" applyAlignment="1">
      <alignment vertical="center"/>
    </xf>
    <xf numFmtId="0" fontId="67" fillId="8" borderId="0" xfId="11" applyFont="1" applyFill="1" applyBorder="1" applyAlignment="1"/>
    <xf numFmtId="0" fontId="9" fillId="81" borderId="58" xfId="2" applyNumberFormat="1" applyFont="1" applyFill="1" applyBorder="1" applyAlignment="1">
      <alignment horizontal="center" vertical="center" wrapText="1"/>
    </xf>
    <xf numFmtId="0" fontId="9" fillId="81" borderId="1" xfId="2" applyNumberFormat="1" applyFont="1" applyFill="1" applyBorder="1" applyAlignment="1">
      <alignment horizontal="center" vertical="center" wrapText="1"/>
    </xf>
    <xf numFmtId="0" fontId="4" fillId="10" borderId="31" xfId="11" applyFont="1" applyFill="1" applyBorder="1" applyAlignment="1">
      <alignment horizontal="center" vertical="center"/>
    </xf>
    <xf numFmtId="1" fontId="4" fillId="10" borderId="94" xfId="11" applyNumberFormat="1" applyFont="1" applyFill="1" applyBorder="1" applyAlignment="1">
      <alignment horizontal="center" vertical="center"/>
    </xf>
    <xf numFmtId="167" fontId="4" fillId="10" borderId="4" xfId="4" applyNumberFormat="1" applyFont="1" applyFill="1" applyBorder="1" applyAlignment="1">
      <alignment horizontal="center" vertical="center"/>
    </xf>
    <xf numFmtId="9" fontId="4" fillId="10" borderId="23" xfId="3" applyFont="1" applyFill="1" applyBorder="1" applyAlignment="1">
      <alignment horizontal="center" vertical="center"/>
    </xf>
    <xf numFmtId="167" fontId="4" fillId="10" borderId="4" xfId="6312" applyNumberFormat="1" applyFont="1" applyFill="1" applyBorder="1" applyAlignment="1">
      <alignment horizontal="center" vertical="center"/>
    </xf>
    <xf numFmtId="9" fontId="4" fillId="10" borderId="34" xfId="3" applyFont="1" applyFill="1" applyBorder="1" applyAlignment="1">
      <alignment horizontal="center" vertical="center"/>
    </xf>
    <xf numFmtId="167" fontId="4" fillId="10" borderId="94" xfId="6312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0" fillId="19" borderId="4" xfId="8" applyFont="1" applyFill="1" applyBorder="1" applyAlignment="1">
      <alignment horizontal="center" vertical="center" wrapText="1"/>
    </xf>
    <xf numFmtId="0" fontId="8" fillId="19" borderId="106" xfId="0" applyFont="1" applyFill="1" applyBorder="1" applyAlignment="1">
      <alignment horizontal="center" vertical="center"/>
    </xf>
    <xf numFmtId="1" fontId="9" fillId="19" borderId="94" xfId="0" applyNumberFormat="1" applyFont="1" applyFill="1" applyBorder="1" applyAlignment="1">
      <alignment horizontal="center" vertical="center"/>
    </xf>
    <xf numFmtId="0" fontId="11" fillId="8" borderId="57" xfId="0" applyFont="1" applyFill="1" applyBorder="1" applyAlignment="1"/>
    <xf numFmtId="0" fontId="11" fillId="19" borderId="48" xfId="0" applyFont="1" applyFill="1" applyBorder="1" applyAlignment="1"/>
    <xf numFmtId="0" fontId="11" fillId="8" borderId="57" xfId="0" applyFont="1" applyFill="1" applyBorder="1"/>
    <xf numFmtId="0" fontId="11" fillId="8" borderId="57" xfId="0" applyFont="1" applyFill="1" applyBorder="1" applyAlignment="1">
      <alignment horizontal="center" vertical="center"/>
    </xf>
    <xf numFmtId="1" fontId="6" fillId="0" borderId="0" xfId="0" applyNumberFormat="1" applyFont="1"/>
    <xf numFmtId="14" fontId="21" fillId="75" borderId="0" xfId="0" applyNumberFormat="1" applyFont="1" applyFill="1"/>
    <xf numFmtId="14" fontId="0" fillId="0" borderId="0" xfId="4" applyNumberFormat="1" applyFont="1"/>
    <xf numFmtId="14" fontId="1" fillId="19" borderId="4" xfId="8" applyNumberFormat="1" applyFont="1" applyFill="1" applyBorder="1" applyAlignment="1">
      <alignment horizontal="center" vertical="center" wrapText="1"/>
    </xf>
    <xf numFmtId="168" fontId="1" fillId="19" borderId="4" xfId="8" quotePrefix="1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21" fillId="75" borderId="0" xfId="0" applyNumberFormat="1" applyFont="1" applyFill="1"/>
    <xf numFmtId="2" fontId="21" fillId="19" borderId="0" xfId="0" applyNumberFormat="1" applyFont="1" applyFill="1"/>
    <xf numFmtId="2" fontId="1" fillId="19" borderId="4" xfId="8" applyNumberFormat="1" applyFont="1" applyFill="1" applyBorder="1" applyAlignment="1">
      <alignment horizontal="center" vertical="center" wrapText="1"/>
    </xf>
    <xf numFmtId="165" fontId="1" fillId="8" borderId="0" xfId="3" applyNumberFormat="1" applyFont="1" applyFill="1" applyBorder="1" applyAlignment="1">
      <alignment horizontal="center" vertical="center"/>
    </xf>
    <xf numFmtId="166" fontId="1" fillId="8" borderId="0" xfId="4" applyNumberFormat="1" applyFont="1" applyFill="1" applyBorder="1" applyAlignment="1">
      <alignment horizontal="center" vertical="center"/>
    </xf>
    <xf numFmtId="3" fontId="0" fillId="79" borderId="38" xfId="6312" applyNumberFormat="1" applyFont="1" applyFill="1" applyBorder="1" applyAlignment="1">
      <alignment horizontal="center" vertical="center"/>
    </xf>
    <xf numFmtId="3" fontId="4" fillId="10" borderId="31" xfId="6312" applyNumberFormat="1" applyFont="1" applyFill="1" applyBorder="1" applyAlignment="1">
      <alignment horizontal="center" vertical="center"/>
    </xf>
    <xf numFmtId="3" fontId="4" fillId="10" borderId="4" xfId="6312" applyNumberFormat="1" applyFont="1" applyFill="1" applyBorder="1" applyAlignment="1">
      <alignment horizontal="center" vertical="center"/>
    </xf>
    <xf numFmtId="0" fontId="0" fillId="4" borderId="0" xfId="0" applyFill="1"/>
    <xf numFmtId="1" fontId="0" fillId="4" borderId="0" xfId="0" applyNumberFormat="1" applyFill="1"/>
    <xf numFmtId="14" fontId="1" fillId="84" borderId="4" xfId="0" applyNumberFormat="1" applyFont="1" applyFill="1" applyBorder="1" applyAlignment="1">
      <alignment horizontal="center" vertical="center"/>
    </xf>
    <xf numFmtId="14" fontId="1" fillId="84" borderId="6" xfId="0" applyNumberFormat="1" applyFont="1" applyFill="1" applyBorder="1" applyAlignment="1">
      <alignment horizontal="center" vertical="center"/>
    </xf>
    <xf numFmtId="0" fontId="18" fillId="18" borderId="0" xfId="10" applyFont="1" applyBorder="1"/>
    <xf numFmtId="167" fontId="4" fillId="8" borderId="86" xfId="4" applyNumberFormat="1" applyFont="1" applyFill="1" applyBorder="1" applyAlignment="1">
      <alignment horizontal="center" vertical="center"/>
    </xf>
    <xf numFmtId="169" fontId="0" fillId="4" borderId="0" xfId="4" applyNumberFormat="1" applyFont="1" applyFill="1"/>
    <xf numFmtId="169" fontId="0" fillId="0" borderId="0" xfId="4" applyNumberFormat="1" applyFont="1"/>
    <xf numFmtId="9" fontId="1" fillId="8" borderId="0" xfId="3" applyFont="1" applyFill="1" applyBorder="1" applyAlignment="1">
      <alignment vertical="center"/>
    </xf>
    <xf numFmtId="165" fontId="1" fillId="8" borderId="0" xfId="3" applyNumberFormat="1" applyFont="1" applyFill="1" applyBorder="1" applyAlignment="1">
      <alignment vertical="center"/>
    </xf>
    <xf numFmtId="0" fontId="9" fillId="8" borderId="47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7" xfId="0" applyNumberFormat="1" applyFont="1" applyFill="1" applyBorder="1" applyAlignment="1">
      <alignment horizontal="center" vertical="center" wrapText="1"/>
    </xf>
    <xf numFmtId="0" fontId="9" fillId="8" borderId="57" xfId="0" applyFont="1" applyFill="1" applyBorder="1" applyAlignment="1">
      <alignment horizontal="center" vertical="center" wrapText="1"/>
    </xf>
    <xf numFmtId="0" fontId="9" fillId="81" borderId="57" xfId="0" applyFont="1" applyFill="1" applyBorder="1" applyAlignment="1">
      <alignment horizontal="center" vertical="center" wrapText="1"/>
    </xf>
    <xf numFmtId="0" fontId="6" fillId="0" borderId="0" xfId="0" applyFont="1" applyFill="1"/>
    <xf numFmtId="0" fontId="1" fillId="0" borderId="4" xfId="0" applyFont="1" applyBorder="1"/>
    <xf numFmtId="0" fontId="71" fillId="0" borderId="91" xfId="0" applyFont="1" applyFill="1" applyBorder="1"/>
    <xf numFmtId="14" fontId="0" fillId="0" borderId="4" xfId="0" applyNumberFormat="1" applyBorder="1"/>
    <xf numFmtId="165" fontId="0" fillId="0" borderId="4" xfId="3" applyNumberFormat="1" applyFont="1" applyBorder="1"/>
    <xf numFmtId="44" fontId="0" fillId="0" borderId="4" xfId="4" applyFont="1" applyBorder="1"/>
    <xf numFmtId="1" fontId="0" fillId="0" borderId="4" xfId="4" applyNumberFormat="1" applyFont="1" applyBorder="1"/>
    <xf numFmtId="1" fontId="0" fillId="81" borderId="0" xfId="0" applyNumberFormat="1" applyFill="1"/>
    <xf numFmtId="0" fontId="0" fillId="81" borderId="0" xfId="0" applyFill="1"/>
    <xf numFmtId="44" fontId="0" fillId="81" borderId="0" xfId="4" applyFont="1" applyFill="1"/>
    <xf numFmtId="0" fontId="1" fillId="81" borderId="0" xfId="0" applyFont="1" applyFill="1" applyAlignment="1">
      <alignment horizontal="center" wrapText="1"/>
    </xf>
    <xf numFmtId="169" fontId="0" fillId="81" borderId="0" xfId="4" applyNumberFormat="1" applyFont="1" applyFill="1"/>
    <xf numFmtId="0" fontId="42" fillId="0" borderId="0" xfId="0" applyFont="1"/>
    <xf numFmtId="2" fontId="42" fillId="0" borderId="0" xfId="0" applyNumberFormat="1" applyFont="1"/>
    <xf numFmtId="0" fontId="9" fillId="76" borderId="52" xfId="7" applyNumberFormat="1" applyFont="1" applyFill="1" applyBorder="1" applyAlignment="1">
      <alignment horizontal="center" vertical="center"/>
    </xf>
    <xf numFmtId="0" fontId="9" fillId="76" borderId="18" xfId="7" applyNumberFormat="1" applyFont="1" applyFill="1" applyBorder="1" applyAlignment="1">
      <alignment horizontal="center" vertical="center"/>
    </xf>
    <xf numFmtId="0" fontId="63" fillId="76" borderId="18" xfId="2" applyNumberFormat="1" applyFont="1" applyFill="1" applyBorder="1" applyAlignment="1">
      <alignment horizontal="center" vertical="center"/>
    </xf>
    <xf numFmtId="0" fontId="63" fillId="76" borderId="52" xfId="7" applyNumberFormat="1" applyFont="1" applyFill="1" applyBorder="1" applyAlignment="1">
      <alignment horizontal="center" vertical="center"/>
    </xf>
    <xf numFmtId="0" fontId="63" fillId="76" borderId="18" xfId="7" applyNumberFormat="1" applyFont="1" applyFill="1" applyBorder="1" applyAlignment="1">
      <alignment horizontal="center" vertical="center"/>
    </xf>
    <xf numFmtId="0" fontId="63" fillId="76" borderId="3" xfId="7" applyNumberFormat="1" applyFont="1" applyFill="1" applyBorder="1" applyAlignment="1">
      <alignment horizontal="center" vertical="center"/>
    </xf>
    <xf numFmtId="0" fontId="22" fillId="21" borderId="53" xfId="7" applyNumberFormat="1" applyFont="1" applyFill="1" applyBorder="1" applyAlignment="1">
      <alignment horizontal="center" vertical="center"/>
    </xf>
    <xf numFmtId="0" fontId="22" fillId="21" borderId="32" xfId="7" applyNumberFormat="1" applyFont="1" applyFill="1" applyBorder="1" applyAlignment="1">
      <alignment horizontal="center" vertical="center"/>
    </xf>
    <xf numFmtId="0" fontId="64" fillId="81" borderId="30" xfId="2" applyNumberFormat="1" applyFont="1" applyFill="1" applyBorder="1" applyAlignment="1">
      <alignment horizontal="center" vertical="center"/>
    </xf>
    <xf numFmtId="0" fontId="22" fillId="21" borderId="29" xfId="7" applyNumberFormat="1" applyFont="1" applyFill="1" applyBorder="1" applyAlignment="1">
      <alignment horizontal="center" vertical="center"/>
    </xf>
    <xf numFmtId="0" fontId="22" fillId="9" borderId="53" xfId="7" applyNumberFormat="1" applyFont="1" applyFill="1" applyBorder="1" applyAlignment="1">
      <alignment horizontal="center" vertical="center"/>
    </xf>
    <xf numFmtId="0" fontId="22" fillId="9" borderId="32" xfId="7" applyNumberFormat="1" applyFont="1" applyFill="1" applyBorder="1" applyAlignment="1">
      <alignment horizontal="center" vertical="center"/>
    </xf>
    <xf numFmtId="0" fontId="64" fillId="8" borderId="31" xfId="2" applyNumberFormat="1" applyFont="1" applyFill="1" applyBorder="1" applyAlignment="1">
      <alignment horizontal="center" vertical="center"/>
    </xf>
    <xf numFmtId="0" fontId="22" fillId="9" borderId="29" xfId="7" applyNumberFormat="1" applyFont="1" applyFill="1" applyBorder="1" applyAlignment="1">
      <alignment horizontal="center" vertical="center"/>
    </xf>
    <xf numFmtId="0" fontId="64" fillId="81" borderId="31" xfId="2" applyNumberFormat="1" applyFont="1" applyFill="1" applyBorder="1" applyAlignment="1">
      <alignment horizontal="center" vertical="center"/>
    </xf>
    <xf numFmtId="0" fontId="64" fillId="81" borderId="28" xfId="2" applyNumberFormat="1" applyFont="1" applyFill="1" applyBorder="1" applyAlignment="1">
      <alignment horizontal="center" vertical="center"/>
    </xf>
    <xf numFmtId="0" fontId="64" fillId="8" borderId="28" xfId="2" applyNumberFormat="1" applyFont="1" applyFill="1" applyBorder="1" applyAlignment="1">
      <alignment horizontal="center" vertical="center"/>
    </xf>
    <xf numFmtId="0" fontId="22" fillId="8" borderId="29" xfId="2" applyNumberFormat="1" applyFont="1" applyFill="1" applyBorder="1" applyAlignment="1">
      <alignment horizontal="center" vertical="center"/>
    </xf>
    <xf numFmtId="0" fontId="22" fillId="81" borderId="29" xfId="2" applyNumberFormat="1" applyFont="1" applyFill="1" applyBorder="1" applyAlignment="1">
      <alignment horizontal="center" vertical="center"/>
    </xf>
    <xf numFmtId="0" fontId="22" fillId="21" borderId="54" xfId="7" applyNumberFormat="1" applyFont="1" applyFill="1" applyBorder="1" applyAlignment="1">
      <alignment horizontal="center" vertical="center"/>
    </xf>
    <xf numFmtId="0" fontId="22" fillId="21" borderId="33" xfId="7" applyNumberFormat="1" applyFont="1" applyFill="1" applyBorder="1" applyAlignment="1">
      <alignment horizontal="center" vertical="center"/>
    </xf>
    <xf numFmtId="0" fontId="22" fillId="21" borderId="41" xfId="7" applyNumberFormat="1" applyFont="1" applyFill="1" applyBorder="1" applyAlignment="1">
      <alignment horizontal="center" vertical="center"/>
    </xf>
    <xf numFmtId="0" fontId="9" fillId="82" borderId="52" xfId="7" applyNumberFormat="1" applyFont="1" applyFill="1" applyBorder="1" applyAlignment="1">
      <alignment horizontal="center" vertical="center"/>
    </xf>
    <xf numFmtId="0" fontId="9" fillId="82" borderId="18" xfId="7" applyNumberFormat="1" applyFont="1" applyFill="1" applyBorder="1" applyAlignment="1">
      <alignment horizontal="center" vertical="center"/>
    </xf>
    <xf numFmtId="0" fontId="63" fillId="82" borderId="121" xfId="2" applyNumberFormat="1" applyFont="1" applyFill="1" applyBorder="1" applyAlignment="1">
      <alignment horizontal="center" vertical="center"/>
    </xf>
    <xf numFmtId="0" fontId="63" fillId="82" borderId="120" xfId="7" applyNumberFormat="1" applyFont="1" applyFill="1" applyBorder="1" applyAlignment="1">
      <alignment horizontal="center" vertical="center"/>
    </xf>
    <xf numFmtId="0" fontId="63" fillId="82" borderId="121" xfId="7" applyNumberFormat="1" applyFont="1" applyFill="1" applyBorder="1" applyAlignment="1">
      <alignment horizontal="center" vertical="center"/>
    </xf>
    <xf numFmtId="0" fontId="63" fillId="82" borderId="3" xfId="7" applyNumberFormat="1" applyFont="1" applyFill="1" applyBorder="1" applyAlignment="1">
      <alignment horizontal="center" vertical="center"/>
    </xf>
    <xf numFmtId="0" fontId="9" fillId="81" borderId="25" xfId="0" applyNumberFormat="1" applyFont="1" applyFill="1" applyBorder="1" applyAlignment="1">
      <alignment horizontal="center" vertical="center" wrapText="1"/>
    </xf>
    <xf numFmtId="0" fontId="9" fillId="81" borderId="24" xfId="0" applyNumberFormat="1" applyFont="1" applyFill="1" applyBorder="1" applyAlignment="1">
      <alignment horizontal="center" vertical="center" wrapText="1"/>
    </xf>
    <xf numFmtId="0" fontId="9" fillId="81" borderId="42" xfId="0" applyNumberFormat="1" applyFont="1" applyFill="1" applyBorder="1" applyAlignment="1">
      <alignment horizontal="center" vertical="center" wrapText="1"/>
    </xf>
    <xf numFmtId="0" fontId="9" fillId="81" borderId="58" xfId="4" applyNumberFormat="1" applyFont="1" applyFill="1" applyBorder="1" applyAlignment="1">
      <alignment horizontal="center" vertical="center" wrapText="1"/>
    </xf>
    <xf numFmtId="0" fontId="9" fillId="81" borderId="43" xfId="4" applyNumberFormat="1" applyFont="1" applyFill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10" fontId="63" fillId="76" borderId="43" xfId="3" applyNumberFormat="1" applyFont="1" applyFill="1" applyBorder="1" applyAlignment="1">
      <alignment horizontal="center" vertical="center"/>
    </xf>
    <xf numFmtId="10" fontId="22" fillId="81" borderId="126" xfId="3" applyNumberFormat="1" applyFont="1" applyFill="1" applyBorder="1" applyAlignment="1">
      <alignment horizontal="center" vertical="center"/>
    </xf>
    <xf numFmtId="10" fontId="22" fillId="8" borderId="111" xfId="3" applyNumberFormat="1" applyFont="1" applyFill="1" applyBorder="1" applyAlignment="1">
      <alignment horizontal="center" vertical="center"/>
    </xf>
    <xf numFmtId="10" fontId="22" fillId="81" borderId="111" xfId="3" applyNumberFormat="1" applyFont="1" applyFill="1" applyBorder="1" applyAlignment="1">
      <alignment horizontal="center" vertical="center"/>
    </xf>
    <xf numFmtId="10" fontId="22" fillId="81" borderId="127" xfId="3" applyNumberFormat="1" applyFont="1" applyFill="1" applyBorder="1" applyAlignment="1">
      <alignment horizontal="center" vertical="center"/>
    </xf>
    <xf numFmtId="10" fontId="63" fillId="14" borderId="131" xfId="3" applyNumberFormat="1" applyFont="1" applyFill="1" applyBorder="1" applyAlignment="1">
      <alignment horizontal="center" vertical="center"/>
    </xf>
    <xf numFmtId="10" fontId="63" fillId="76" borderId="42" xfId="3" applyNumberFormat="1" applyFont="1" applyFill="1" applyBorder="1" applyAlignment="1">
      <alignment horizontal="center" vertical="center"/>
    </xf>
    <xf numFmtId="10" fontId="64" fillId="81" borderId="70" xfId="3" applyNumberFormat="1" applyFont="1" applyFill="1" applyBorder="1" applyAlignment="1">
      <alignment horizontal="center" vertical="center"/>
    </xf>
    <xf numFmtId="10" fontId="64" fillId="8" borderId="46" xfId="3" applyNumberFormat="1" applyFont="1" applyFill="1" applyBorder="1" applyAlignment="1">
      <alignment horizontal="center" vertical="center"/>
    </xf>
    <xf numFmtId="10" fontId="64" fillId="81" borderId="46" xfId="3" applyNumberFormat="1" applyFont="1" applyFill="1" applyBorder="1" applyAlignment="1">
      <alignment horizontal="center" vertical="center"/>
    </xf>
    <xf numFmtId="10" fontId="64" fillId="8" borderId="70" xfId="3" applyNumberFormat="1" applyFont="1" applyFill="1" applyBorder="1" applyAlignment="1">
      <alignment horizontal="center" vertical="center"/>
    </xf>
    <xf numFmtId="10" fontId="22" fillId="8" borderId="46" xfId="3" applyNumberFormat="1" applyFont="1" applyFill="1" applyBorder="1" applyAlignment="1">
      <alignment horizontal="center" vertical="center"/>
    </xf>
    <xf numFmtId="10" fontId="22" fillId="81" borderId="46" xfId="3" applyNumberFormat="1" applyFont="1" applyFill="1" applyBorder="1" applyAlignment="1">
      <alignment horizontal="center" vertical="center"/>
    </xf>
    <xf numFmtId="10" fontId="63" fillId="13" borderId="122" xfId="3" applyNumberFormat="1" applyFont="1" applyFill="1" applyBorder="1" applyAlignment="1">
      <alignment horizontal="center" vertical="center"/>
    </xf>
    <xf numFmtId="10" fontId="63" fillId="76" borderId="128" xfId="3" applyNumberFormat="1" applyFont="1" applyFill="1" applyBorder="1" applyAlignment="1">
      <alignment horizontal="center" vertical="center"/>
    </xf>
    <xf numFmtId="10" fontId="64" fillId="81" borderId="129" xfId="3" applyNumberFormat="1" applyFont="1" applyFill="1" applyBorder="1" applyAlignment="1">
      <alignment horizontal="center" vertical="center"/>
    </xf>
    <xf numFmtId="10" fontId="64" fillId="8" borderId="44" xfId="3" applyNumberFormat="1" applyFont="1" applyFill="1" applyBorder="1" applyAlignment="1">
      <alignment horizontal="center" vertical="center"/>
    </xf>
    <xf numFmtId="10" fontId="64" fillId="81" borderId="44" xfId="3" applyNumberFormat="1" applyFont="1" applyFill="1" applyBorder="1" applyAlignment="1">
      <alignment horizontal="center" vertical="center"/>
    </xf>
    <xf numFmtId="10" fontId="64" fillId="8" borderId="50" xfId="3" applyNumberFormat="1" applyFont="1" applyFill="1" applyBorder="1" applyAlignment="1">
      <alignment horizontal="center" vertical="center"/>
    </xf>
    <xf numFmtId="10" fontId="63" fillId="76" borderId="45" xfId="3" applyNumberFormat="1" applyFont="1" applyFill="1" applyBorder="1" applyAlignment="1">
      <alignment horizontal="center" vertical="center"/>
    </xf>
    <xf numFmtId="10" fontId="64" fillId="81" borderId="125" xfId="3" applyNumberFormat="1" applyFont="1" applyFill="1" applyBorder="1" applyAlignment="1">
      <alignment horizontal="center" vertical="center"/>
    </xf>
    <xf numFmtId="10" fontId="64" fillId="81" borderId="50" xfId="3" applyNumberFormat="1" applyFont="1" applyFill="1" applyBorder="1" applyAlignment="1">
      <alignment horizontal="center" vertical="center"/>
    </xf>
    <xf numFmtId="10" fontId="22" fillId="8" borderId="50" xfId="3" applyNumberFormat="1" applyFont="1" applyFill="1" applyBorder="1" applyAlignment="1">
      <alignment horizontal="center" vertical="center"/>
    </xf>
    <xf numFmtId="10" fontId="22" fillId="81" borderId="125" xfId="3" applyNumberFormat="1" applyFont="1" applyFill="1" applyBorder="1" applyAlignment="1">
      <alignment horizontal="center" vertical="center"/>
    </xf>
    <xf numFmtId="10" fontId="22" fillId="8" borderId="44" xfId="3" applyNumberFormat="1" applyFont="1" applyFill="1" applyBorder="1" applyAlignment="1">
      <alignment horizontal="center" vertical="center"/>
    </xf>
    <xf numFmtId="10" fontId="22" fillId="81" borderId="44" xfId="3" applyNumberFormat="1" applyFont="1" applyFill="1" applyBorder="1" applyAlignment="1">
      <alignment horizontal="center" vertical="center"/>
    </xf>
    <xf numFmtId="10" fontId="22" fillId="81" borderId="50" xfId="3" applyNumberFormat="1" applyFont="1" applyFill="1" applyBorder="1" applyAlignment="1">
      <alignment horizontal="center" vertical="center"/>
    </xf>
    <xf numFmtId="10" fontId="63" fillId="13" borderId="130" xfId="3" applyNumberFormat="1" applyFont="1" applyFill="1" applyBorder="1" applyAlignment="1">
      <alignment horizontal="center" vertical="center"/>
    </xf>
    <xf numFmtId="44" fontId="63" fillId="76" borderId="1" xfId="7" applyNumberFormat="1" applyFont="1" applyFill="1" applyBorder="1" applyAlignment="1">
      <alignment horizontal="center" vertical="center"/>
    </xf>
    <xf numFmtId="44" fontId="64" fillId="81" borderId="132" xfId="0" applyNumberFormat="1" applyFont="1" applyFill="1" applyBorder="1" applyAlignment="1">
      <alignment horizontal="center" vertical="center"/>
    </xf>
    <xf numFmtId="44" fontId="64" fillId="8" borderId="46" xfId="0" applyNumberFormat="1" applyFont="1" applyFill="1" applyBorder="1" applyAlignment="1">
      <alignment horizontal="center" vertical="center"/>
    </xf>
    <xf numFmtId="44" fontId="64" fillId="81" borderId="46" xfId="0" applyNumberFormat="1" applyFont="1" applyFill="1" applyBorder="1" applyAlignment="1">
      <alignment horizontal="center" vertical="center"/>
    </xf>
    <xf numFmtId="44" fontId="63" fillId="76" borderId="42" xfId="7" applyNumberFormat="1" applyFont="1" applyFill="1" applyBorder="1" applyAlignment="1">
      <alignment horizontal="center" vertical="center"/>
    </xf>
    <xf numFmtId="44" fontId="64" fillId="81" borderId="70" xfId="4" applyNumberFormat="1" applyFont="1" applyFill="1" applyBorder="1" applyAlignment="1">
      <alignment horizontal="center" vertical="center"/>
    </xf>
    <xf numFmtId="44" fontId="64" fillId="8" borderId="70" xfId="4" applyNumberFormat="1" applyFont="1" applyFill="1" applyBorder="1" applyAlignment="1">
      <alignment horizontal="center" vertical="center"/>
    </xf>
    <xf numFmtId="44" fontId="22" fillId="8" borderId="46" xfId="0" applyNumberFormat="1" applyFont="1" applyFill="1" applyBorder="1" applyAlignment="1">
      <alignment horizontal="center" vertical="center"/>
    </xf>
    <xf numFmtId="44" fontId="22" fillId="81" borderId="46" xfId="0" applyNumberFormat="1" applyFont="1" applyFill="1" applyBorder="1" applyAlignment="1">
      <alignment horizontal="center" vertical="center"/>
    </xf>
    <xf numFmtId="44" fontId="63" fillId="82" borderId="122" xfId="7" applyNumberFormat="1" applyFont="1" applyFill="1" applyBorder="1" applyAlignment="1">
      <alignment horizontal="center" vertical="center"/>
    </xf>
    <xf numFmtId="44" fontId="9" fillId="76" borderId="18" xfId="4" applyNumberFormat="1" applyFont="1" applyFill="1" applyBorder="1" applyAlignment="1">
      <alignment horizontal="center" vertical="center"/>
    </xf>
    <xf numFmtId="44" fontId="22" fillId="21" borderId="32" xfId="4" applyNumberFormat="1" applyFont="1" applyFill="1" applyBorder="1" applyAlignment="1">
      <alignment horizontal="center" vertical="center"/>
    </xf>
    <xf numFmtId="44" fontId="22" fillId="9" borderId="32" xfId="7" applyNumberFormat="1" applyFont="1" applyFill="1" applyBorder="1" applyAlignment="1">
      <alignment horizontal="center" vertical="center"/>
    </xf>
    <xf numFmtId="44" fontId="22" fillId="21" borderId="32" xfId="7" applyNumberFormat="1" applyFont="1" applyFill="1" applyBorder="1" applyAlignment="1">
      <alignment horizontal="center" vertical="center"/>
    </xf>
    <xf numFmtId="44" fontId="9" fillId="76" borderId="18" xfId="7" applyNumberFormat="1" applyFont="1" applyFill="1" applyBorder="1" applyAlignment="1">
      <alignment horizontal="center" vertical="center"/>
    </xf>
    <xf numFmtId="44" fontId="22" fillId="21" borderId="33" xfId="7" applyNumberFormat="1" applyFont="1" applyFill="1" applyBorder="1" applyAlignment="1">
      <alignment horizontal="center" vertical="center"/>
    </xf>
    <xf numFmtId="44" fontId="9" fillId="82" borderId="18" xfId="7" applyNumberFormat="1" applyFont="1" applyFill="1" applyBorder="1" applyAlignment="1">
      <alignment horizontal="center" vertical="center"/>
    </xf>
    <xf numFmtId="1" fontId="28" fillId="23" borderId="52" xfId="0" applyNumberFormat="1" applyFont="1" applyFill="1" applyBorder="1" applyAlignment="1">
      <alignment horizontal="center" vertical="center"/>
    </xf>
    <xf numFmtId="1" fontId="28" fillId="23" borderId="18" xfId="0" applyNumberFormat="1" applyFont="1" applyFill="1" applyBorder="1" applyAlignment="1">
      <alignment horizontal="center" vertical="center"/>
    </xf>
    <xf numFmtId="1" fontId="28" fillId="13" borderId="123" xfId="0" applyNumberFormat="1" applyFont="1" applyFill="1" applyBorder="1" applyAlignment="1">
      <alignment horizontal="center" vertical="center"/>
    </xf>
    <xf numFmtId="1" fontId="28" fillId="13" borderId="124" xfId="0" applyNumberFormat="1" applyFont="1" applyFill="1" applyBorder="1" applyAlignment="1">
      <alignment horizontal="center" vertical="center"/>
    </xf>
    <xf numFmtId="1" fontId="28" fillId="3" borderId="47" xfId="0" applyNumberFormat="1" applyFont="1" applyFill="1" applyBorder="1" applyAlignment="1">
      <alignment horizontal="center" vertical="center"/>
    </xf>
    <xf numFmtId="1" fontId="28" fillId="3" borderId="2" xfId="0" applyNumberFormat="1" applyFont="1" applyFill="1" applyBorder="1" applyAlignment="1">
      <alignment horizontal="center" vertical="center"/>
    </xf>
    <xf numFmtId="1" fontId="28" fillId="3" borderId="43" xfId="0" applyNumberFormat="1" applyFont="1" applyFill="1" applyBorder="1" applyAlignment="1">
      <alignment horizontal="center" vertical="center"/>
    </xf>
    <xf numFmtId="166" fontId="28" fillId="80" borderId="110" xfId="4" applyNumberFormat="1" applyFont="1" applyFill="1" applyBorder="1" applyAlignment="1">
      <alignment horizontal="center" vertical="center" wrapText="1"/>
    </xf>
    <xf numFmtId="166" fontId="28" fillId="80" borderId="15" xfId="4" applyNumberFormat="1" applyFont="1" applyFill="1" applyBorder="1" applyAlignment="1">
      <alignment horizontal="center" vertical="center" wrapText="1"/>
    </xf>
    <xf numFmtId="166" fontId="28" fillId="80" borderId="89" xfId="4" applyNumberFormat="1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3" xfId="0" applyNumberFormat="1" applyFont="1" applyFill="1" applyBorder="1" applyAlignment="1">
      <alignment horizontal="center" vertical="center" wrapText="1"/>
    </xf>
    <xf numFmtId="1" fontId="9" fillId="8" borderId="47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49" fontId="13" fillId="8" borderId="0" xfId="7" applyNumberFormat="1" applyFont="1" applyFill="1" applyBorder="1" applyAlignment="1">
      <alignment horizontal="center" vertical="center" wrapText="1"/>
    </xf>
    <xf numFmtId="166" fontId="9" fillId="81" borderId="110" xfId="4" applyNumberFormat="1" applyFont="1" applyFill="1" applyBorder="1" applyAlignment="1">
      <alignment horizontal="center" vertical="center" wrapText="1"/>
    </xf>
    <xf numFmtId="166" fontId="9" fillId="81" borderId="89" xfId="4" applyNumberFormat="1" applyFont="1" applyFill="1" applyBorder="1" applyAlignment="1">
      <alignment horizontal="center" vertical="center" wrapText="1"/>
    </xf>
    <xf numFmtId="1" fontId="9" fillId="81" borderId="47" xfId="0" applyNumberFormat="1" applyFont="1" applyFill="1" applyBorder="1" applyAlignment="1">
      <alignment horizontal="center" vertical="center" wrapText="1"/>
    </xf>
    <xf numFmtId="1" fontId="9" fillId="81" borderId="43" xfId="0" applyNumberFormat="1" applyFont="1" applyFill="1" applyBorder="1" applyAlignment="1">
      <alignment horizontal="center" vertical="center" wrapText="1"/>
    </xf>
    <xf numFmtId="1" fontId="9" fillId="81" borderId="80" xfId="0" applyNumberFormat="1" applyFont="1" applyFill="1" applyBorder="1" applyAlignment="1">
      <alignment horizontal="center" vertical="center" wrapText="1"/>
    </xf>
    <xf numFmtId="1" fontId="9" fillId="81" borderId="81" xfId="0" applyNumberFormat="1" applyFont="1" applyFill="1" applyBorder="1" applyAlignment="1">
      <alignment horizontal="center" vertical="center" wrapText="1"/>
    </xf>
    <xf numFmtId="1" fontId="9" fillId="81" borderId="83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6" fontId="25" fillId="21" borderId="16" xfId="4" applyNumberFormat="1" applyFont="1" applyFill="1" applyBorder="1" applyAlignment="1">
      <alignment horizontal="center" vertical="center"/>
    </xf>
    <xf numFmtId="166" fontId="25" fillId="21" borderId="90" xfId="4" applyNumberFormat="1" applyFont="1" applyFill="1" applyBorder="1" applyAlignment="1">
      <alignment horizontal="center" vertical="center"/>
    </xf>
    <xf numFmtId="166" fontId="25" fillId="21" borderId="17" xfId="4" applyNumberFormat="1" applyFont="1" applyFill="1" applyBorder="1" applyAlignment="1">
      <alignment horizontal="center" vertical="center"/>
    </xf>
    <xf numFmtId="1" fontId="28" fillId="4" borderId="52" xfId="0" applyNumberFormat="1" applyFont="1" applyFill="1" applyBorder="1" applyAlignment="1">
      <alignment horizontal="center" vertical="center"/>
    </xf>
    <xf numFmtId="1" fontId="28" fillId="4" borderId="18" xfId="0" applyNumberFormat="1" applyFont="1" applyFill="1" applyBorder="1" applyAlignment="1">
      <alignment horizontal="center" vertical="center"/>
    </xf>
    <xf numFmtId="1" fontId="28" fillId="23" borderId="1" xfId="0" applyNumberFormat="1" applyFont="1" applyFill="1" applyBorder="1" applyAlignment="1">
      <alignment horizontal="center" vertical="center"/>
    </xf>
    <xf numFmtId="1" fontId="28" fillId="23" borderId="2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/>
    </xf>
    <xf numFmtId="0" fontId="25" fillId="8" borderId="2" xfId="0" applyFont="1" applyFill="1" applyBorder="1" applyAlignment="1">
      <alignment horizontal="center"/>
    </xf>
    <xf numFmtId="0" fontId="25" fillId="8" borderId="3" xfId="0" applyFont="1" applyFill="1" applyBorder="1" applyAlignment="1">
      <alignment horizontal="center"/>
    </xf>
    <xf numFmtId="1" fontId="28" fillId="83" borderId="116" xfId="0" applyNumberFormat="1" applyFont="1" applyFill="1" applyBorder="1" applyAlignment="1">
      <alignment horizontal="center" vertical="center" wrapText="1"/>
    </xf>
    <xf numFmtId="1" fontId="28" fillId="83" borderId="117" xfId="0" applyNumberFormat="1" applyFont="1" applyFill="1" applyBorder="1" applyAlignment="1">
      <alignment horizontal="center" vertical="center" wrapText="1"/>
    </xf>
    <xf numFmtId="1" fontId="28" fillId="83" borderId="118" xfId="0" applyNumberFormat="1" applyFont="1" applyFill="1" applyBorder="1" applyAlignment="1">
      <alignment horizontal="center" vertical="center" wrapText="1"/>
    </xf>
    <xf numFmtId="1" fontId="28" fillId="3" borderId="116" xfId="0" applyNumberFormat="1" applyFont="1" applyFill="1" applyBorder="1" applyAlignment="1">
      <alignment horizontal="center" vertical="center"/>
    </xf>
    <xf numFmtId="1" fontId="28" fillId="3" borderId="117" xfId="0" applyNumberFormat="1" applyFont="1" applyFill="1" applyBorder="1" applyAlignment="1">
      <alignment horizontal="center" vertical="center"/>
    </xf>
    <xf numFmtId="1" fontId="28" fillId="3" borderId="118" xfId="0" applyNumberFormat="1" applyFont="1" applyFill="1" applyBorder="1" applyAlignment="1">
      <alignment horizontal="center" vertical="center"/>
    </xf>
    <xf numFmtId="1" fontId="28" fillId="23" borderId="3" xfId="0" applyNumberFormat="1" applyFont="1" applyFill="1" applyBorder="1" applyAlignment="1">
      <alignment horizontal="center" vertical="center"/>
    </xf>
    <xf numFmtId="1" fontId="28" fillId="4" borderId="123" xfId="0" applyNumberFormat="1" applyFont="1" applyFill="1" applyBorder="1" applyAlignment="1">
      <alignment horizontal="center" vertical="center"/>
    </xf>
    <xf numFmtId="1" fontId="28" fillId="4" borderId="124" xfId="0" applyNumberFormat="1" applyFont="1" applyFill="1" applyBorder="1" applyAlignment="1">
      <alignment horizontal="center" vertical="center"/>
    </xf>
    <xf numFmtId="1" fontId="28" fillId="14" borderId="123" xfId="0" applyNumberFormat="1" applyFont="1" applyFill="1" applyBorder="1" applyAlignment="1">
      <alignment horizontal="center" vertical="center"/>
    </xf>
    <xf numFmtId="1" fontId="28" fillId="14" borderId="124" xfId="0" applyNumberFormat="1" applyFont="1" applyFill="1" applyBorder="1" applyAlignment="1">
      <alignment horizontal="center" vertical="center"/>
    </xf>
    <xf numFmtId="1" fontId="28" fillId="22" borderId="123" xfId="0" applyNumberFormat="1" applyFont="1" applyFill="1" applyBorder="1" applyAlignment="1">
      <alignment horizontal="center" vertical="center"/>
    </xf>
    <xf numFmtId="1" fontId="28" fillId="22" borderId="124" xfId="0" applyNumberFormat="1" applyFont="1" applyFill="1" applyBorder="1" applyAlignment="1">
      <alignment horizontal="center" vertical="center"/>
    </xf>
    <xf numFmtId="0" fontId="16" fillId="3" borderId="34" xfId="0" applyFont="1" applyFill="1" applyBorder="1" applyAlignment="1">
      <alignment horizontal="center"/>
    </xf>
    <xf numFmtId="0" fontId="16" fillId="3" borderId="27" xfId="0" applyFont="1" applyFill="1" applyBorder="1" applyAlignment="1">
      <alignment horizontal="center"/>
    </xf>
    <xf numFmtId="0" fontId="16" fillId="3" borderId="35" xfId="0" applyFont="1" applyFill="1" applyBorder="1" applyAlignment="1">
      <alignment horizontal="center"/>
    </xf>
    <xf numFmtId="0" fontId="16" fillId="10" borderId="34" xfId="0" applyFont="1" applyFill="1" applyBorder="1" applyAlignment="1">
      <alignment horizontal="center"/>
    </xf>
    <xf numFmtId="0" fontId="16" fillId="10" borderId="27" xfId="0" applyFont="1" applyFill="1" applyBorder="1" applyAlignment="1">
      <alignment horizontal="center"/>
    </xf>
    <xf numFmtId="0" fontId="16" fillId="10" borderId="35" xfId="0" applyFont="1" applyFill="1" applyBorder="1" applyAlignment="1">
      <alignment horizontal="center"/>
    </xf>
    <xf numFmtId="0" fontId="16" fillId="6" borderId="34" xfId="0" applyFont="1" applyFill="1" applyBorder="1" applyAlignment="1">
      <alignment horizontal="center"/>
    </xf>
    <xf numFmtId="0" fontId="16" fillId="6" borderId="27" xfId="0" applyFont="1" applyFill="1" applyBorder="1" applyAlignment="1">
      <alignment horizontal="center"/>
    </xf>
    <xf numFmtId="0" fontId="16" fillId="6" borderId="35" xfId="0" applyFont="1" applyFill="1" applyBorder="1" applyAlignment="1">
      <alignment horizontal="center"/>
    </xf>
    <xf numFmtId="0" fontId="16" fillId="16" borderId="34" xfId="0" applyFont="1" applyFill="1" applyBorder="1" applyAlignment="1">
      <alignment horizontal="center" vertical="top"/>
    </xf>
    <xf numFmtId="0" fontId="16" fillId="16" borderId="27" xfId="0" applyFont="1" applyFill="1" applyBorder="1" applyAlignment="1">
      <alignment horizontal="center" vertical="top"/>
    </xf>
    <xf numFmtId="0" fontId="16" fillId="16" borderId="35" xfId="0" applyFont="1" applyFill="1" applyBorder="1" applyAlignment="1">
      <alignment horizontal="center" vertical="top"/>
    </xf>
    <xf numFmtId="0" fontId="16" fillId="14" borderId="34" xfId="0" applyFont="1" applyFill="1" applyBorder="1" applyAlignment="1">
      <alignment horizontal="center"/>
    </xf>
    <xf numFmtId="0" fontId="16" fillId="14" borderId="27" xfId="0" applyFont="1" applyFill="1" applyBorder="1" applyAlignment="1">
      <alignment horizontal="center"/>
    </xf>
    <xf numFmtId="0" fontId="16" fillId="14" borderId="35" xfId="0" applyFont="1" applyFill="1" applyBorder="1" applyAlignment="1">
      <alignment horizontal="center"/>
    </xf>
    <xf numFmtId="0" fontId="17" fillId="15" borderId="34" xfId="0" applyFont="1" applyFill="1" applyBorder="1" applyAlignment="1">
      <alignment horizontal="center"/>
    </xf>
    <xf numFmtId="0" fontId="17" fillId="15" borderId="27" xfId="0" applyFont="1" applyFill="1" applyBorder="1" applyAlignment="1">
      <alignment horizontal="center"/>
    </xf>
    <xf numFmtId="0" fontId="17" fillId="15" borderId="35" xfId="0" applyFont="1" applyFill="1" applyBorder="1" applyAlignment="1">
      <alignment horizontal="center"/>
    </xf>
    <xf numFmtId="0" fontId="16" fillId="13" borderId="34" xfId="0" applyFont="1" applyFill="1" applyBorder="1" applyAlignment="1">
      <alignment horizontal="center"/>
    </xf>
    <xf numFmtId="0" fontId="16" fillId="13" borderId="27" xfId="0" applyFont="1" applyFill="1" applyBorder="1" applyAlignment="1">
      <alignment horizontal="center"/>
    </xf>
    <xf numFmtId="0" fontId="16" fillId="13" borderId="35" xfId="0" applyFont="1" applyFill="1" applyBorder="1" applyAlignment="1">
      <alignment horizontal="center"/>
    </xf>
    <xf numFmtId="0" fontId="41" fillId="17" borderId="93" xfId="11" applyFont="1" applyFill="1" applyBorder="1" applyAlignment="1">
      <alignment horizontal="center" vertical="center"/>
    </xf>
    <xf numFmtId="0" fontId="41" fillId="17" borderId="80" xfId="11" applyFont="1" applyFill="1" applyBorder="1" applyAlignment="1">
      <alignment horizontal="center" vertical="center"/>
    </xf>
    <xf numFmtId="165" fontId="1" fillId="8" borderId="11" xfId="3" applyNumberFormat="1" applyFont="1" applyFill="1" applyBorder="1" applyAlignment="1">
      <alignment horizontal="center" vertical="center"/>
    </xf>
    <xf numFmtId="165" fontId="1" fillId="8" borderId="12" xfId="3" applyNumberFormat="1" applyFont="1" applyFill="1" applyBorder="1" applyAlignment="1">
      <alignment horizontal="center" vertical="center"/>
    </xf>
    <xf numFmtId="165" fontId="1" fillId="8" borderId="88" xfId="3" applyNumberFormat="1" applyFont="1" applyFill="1" applyBorder="1" applyAlignment="1">
      <alignment horizontal="center" vertical="center"/>
    </xf>
    <xf numFmtId="165" fontId="1" fillId="8" borderId="14" xfId="3" applyNumberFormat="1" applyFont="1" applyFill="1" applyBorder="1" applyAlignment="1">
      <alignment horizontal="center" vertical="center"/>
    </xf>
    <xf numFmtId="165" fontId="1" fillId="8" borderId="15" xfId="3" applyNumberFormat="1" applyFont="1" applyFill="1" applyBorder="1" applyAlignment="1">
      <alignment horizontal="center" vertical="center"/>
    </xf>
    <xf numFmtId="165" fontId="1" fillId="8" borderId="87" xfId="3" applyNumberFormat="1" applyFont="1" applyFill="1" applyBorder="1" applyAlignment="1">
      <alignment horizontal="center" vertical="center"/>
    </xf>
    <xf numFmtId="165" fontId="1" fillId="8" borderId="106" xfId="3" applyNumberFormat="1" applyFont="1" applyFill="1" applyBorder="1" applyAlignment="1">
      <alignment horizontal="center" vertical="center"/>
    </xf>
    <xf numFmtId="165" fontId="1" fillId="8" borderId="108" xfId="3" applyNumberFormat="1" applyFont="1" applyFill="1" applyBorder="1" applyAlignment="1">
      <alignment horizontal="center" vertical="center"/>
    </xf>
    <xf numFmtId="165" fontId="1" fillId="8" borderId="22" xfId="3" applyNumberFormat="1" applyFont="1" applyFill="1" applyBorder="1" applyAlignment="1">
      <alignment horizontal="center" vertical="center"/>
    </xf>
    <xf numFmtId="165" fontId="1" fillId="8" borderId="102" xfId="3" applyNumberFormat="1" applyFont="1" applyFill="1" applyBorder="1" applyAlignment="1">
      <alignment horizontal="center" vertical="center"/>
    </xf>
    <xf numFmtId="165" fontId="1" fillId="8" borderId="95" xfId="3" applyNumberFormat="1" applyFont="1" applyFill="1" applyBorder="1" applyAlignment="1">
      <alignment horizontal="center" vertical="center"/>
    </xf>
    <xf numFmtId="165" fontId="1" fillId="8" borderId="96" xfId="3" applyNumberFormat="1" applyFont="1" applyFill="1" applyBorder="1" applyAlignment="1">
      <alignment horizontal="center" vertical="center"/>
    </xf>
    <xf numFmtId="165" fontId="1" fillId="8" borderId="84" xfId="3" applyNumberFormat="1" applyFont="1" applyFill="1" applyBorder="1" applyAlignment="1">
      <alignment horizontal="center" vertical="center"/>
    </xf>
    <xf numFmtId="165" fontId="1" fillId="8" borderId="97" xfId="3" applyNumberFormat="1" applyFont="1" applyFill="1" applyBorder="1" applyAlignment="1">
      <alignment horizontal="center" vertical="center"/>
    </xf>
    <xf numFmtId="165" fontId="1" fillId="8" borderId="13" xfId="3" applyNumberFormat="1" applyFont="1" applyFill="1" applyBorder="1" applyAlignment="1">
      <alignment horizontal="center" vertical="center"/>
    </xf>
    <xf numFmtId="0" fontId="68" fillId="8" borderId="15" xfId="11" applyFont="1" applyFill="1" applyBorder="1" applyAlignment="1">
      <alignment horizontal="center"/>
    </xf>
    <xf numFmtId="0" fontId="1" fillId="8" borderId="11" xfId="11" applyFont="1" applyFill="1" applyBorder="1" applyAlignment="1">
      <alignment horizontal="center" vertical="center"/>
    </xf>
    <xf numFmtId="0" fontId="1" fillId="8" borderId="13" xfId="11" applyFont="1" applyFill="1" applyBorder="1" applyAlignment="1">
      <alignment horizontal="center" vertical="center"/>
    </xf>
    <xf numFmtId="0" fontId="1" fillId="8" borderId="14" xfId="11" applyFont="1" applyFill="1" applyBorder="1" applyAlignment="1">
      <alignment horizontal="center" vertical="center"/>
    </xf>
    <xf numFmtId="0" fontId="1" fillId="8" borderId="12" xfId="11" applyFont="1" applyFill="1" applyBorder="1" applyAlignment="1">
      <alignment horizontal="center" vertical="center"/>
    </xf>
    <xf numFmtId="0" fontId="1" fillId="8" borderId="88" xfId="11" applyFont="1" applyFill="1" applyBorder="1" applyAlignment="1">
      <alignment horizontal="center" vertical="center"/>
    </xf>
    <xf numFmtId="0" fontId="1" fillId="8" borderId="15" xfId="11" applyFont="1" applyFill="1" applyBorder="1" applyAlignment="1">
      <alignment horizontal="center" vertical="center"/>
    </xf>
    <xf numFmtId="0" fontId="1" fillId="8" borderId="87" xfId="11" applyFont="1" applyFill="1" applyBorder="1" applyAlignment="1">
      <alignment horizontal="center" vertical="center"/>
    </xf>
    <xf numFmtId="0" fontId="1" fillId="8" borderId="11" xfId="11" applyFont="1" applyFill="1" applyBorder="1" applyAlignment="1">
      <alignment horizontal="center" vertical="center" wrapText="1"/>
    </xf>
    <xf numFmtId="0" fontId="1" fillId="8" borderId="12" xfId="11" applyFont="1" applyFill="1" applyBorder="1" applyAlignment="1">
      <alignment horizontal="center" vertical="center" wrapText="1"/>
    </xf>
    <xf numFmtId="0" fontId="1" fillId="8" borderId="14" xfId="11" applyFont="1" applyFill="1" applyBorder="1" applyAlignment="1">
      <alignment horizontal="center" vertical="center" wrapText="1"/>
    </xf>
    <xf numFmtId="0" fontId="1" fillId="8" borderId="15" xfId="11" applyFont="1" applyFill="1" applyBorder="1" applyAlignment="1">
      <alignment horizontal="center" vertical="center" wrapText="1"/>
    </xf>
    <xf numFmtId="0" fontId="1" fillId="8" borderId="88" xfId="11" applyFont="1" applyFill="1" applyBorder="1" applyAlignment="1">
      <alignment horizontal="center" vertical="center" wrapText="1"/>
    </xf>
    <xf numFmtId="0" fontId="1" fillId="8" borderId="87" xfId="11" applyFont="1" applyFill="1" applyBorder="1" applyAlignment="1">
      <alignment horizontal="center" vertical="center" wrapText="1"/>
    </xf>
    <xf numFmtId="172" fontId="63" fillId="76" borderId="52" xfId="2" applyNumberFormat="1" applyFont="1" applyFill="1" applyBorder="1" applyAlignment="1">
      <alignment horizontal="center" vertical="center"/>
    </xf>
    <xf numFmtId="172" fontId="64" fillId="81" borderId="59" xfId="2" applyNumberFormat="1" applyFont="1" applyFill="1" applyBorder="1" applyAlignment="1">
      <alignment horizontal="center" vertical="center"/>
    </xf>
    <xf numFmtId="172" fontId="64" fillId="8" borderId="48" xfId="2" applyNumberFormat="1" applyFont="1" applyFill="1" applyBorder="1" applyAlignment="1">
      <alignment horizontal="center" vertical="center"/>
    </xf>
    <xf numFmtId="172" fontId="64" fillId="81" borderId="48" xfId="2" applyNumberFormat="1" applyFont="1" applyFill="1" applyBorder="1" applyAlignment="1">
      <alignment horizontal="center" vertical="center"/>
    </xf>
    <xf numFmtId="172" fontId="63" fillId="82" borderId="120" xfId="2" applyNumberFormat="1" applyFont="1" applyFill="1" applyBorder="1" applyAlignment="1">
      <alignment horizontal="center" vertic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5"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95253</xdr:colOff>
      <xdr:row>1</xdr:row>
      <xdr:rowOff>0</xdr:rowOff>
    </xdr:from>
    <xdr:to>
      <xdr:col>3</xdr:col>
      <xdr:colOff>1301751</xdr:colOff>
      <xdr:row>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3" y="174625"/>
          <a:ext cx="1206498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  <pageSetUpPr fitToPage="1"/>
  </sheetPr>
  <dimension ref="A1:BJ76"/>
  <sheetViews>
    <sheetView topLeftCell="D1" zoomScale="60" zoomScaleNormal="60" workbookViewId="0">
      <selection activeCell="O18" sqref="O18"/>
    </sheetView>
  </sheetViews>
  <sheetFormatPr defaultColWidth="9.140625" defaultRowHeight="14.25" outlineLevelRow="1" outlineLevelCol="1" x14ac:dyDescent="0.2"/>
  <cols>
    <col min="1" max="3" width="9.140625" style="33" hidden="1" customWidth="1" outlineLevel="1"/>
    <col min="4" max="4" width="55.5703125" style="33" customWidth="1" collapsed="1"/>
    <col min="5" max="5" width="11.5703125" style="35" hidden="1" customWidth="1" outlineLevel="1"/>
    <col min="6" max="6" width="12" style="36" hidden="1" customWidth="1" outlineLevel="1"/>
    <col min="7" max="7" width="15.42578125" style="36" hidden="1" customWidth="1" outlineLevel="1"/>
    <col min="8" max="8" width="11.5703125" style="35" hidden="1" customWidth="1" outlineLevel="1"/>
    <col min="9" max="9" width="12" style="36" hidden="1" customWidth="1" outlineLevel="1"/>
    <col min="10" max="10" width="15.42578125" style="36" hidden="1" customWidth="1" outlineLevel="1"/>
    <col min="11" max="11" width="11.5703125" style="35" hidden="1" customWidth="1" outlineLevel="1"/>
    <col min="12" max="12" width="12" style="36" hidden="1" customWidth="1" outlineLevel="1"/>
    <col min="13" max="13" width="15.42578125" style="36" hidden="1" customWidth="1" outlineLevel="1"/>
    <col min="14" max="14" width="12.7109375" style="33" customWidth="1" collapsed="1"/>
    <col min="15" max="15" width="12.7109375" style="33" customWidth="1"/>
    <col min="16" max="16" width="30.5703125" style="33" customWidth="1"/>
    <col min="17" max="17" width="33.42578125" style="60" customWidth="1"/>
    <col min="18" max="18" width="13.42578125" style="60" customWidth="1"/>
    <col min="19" max="19" width="31.28515625" style="60" customWidth="1"/>
    <col min="20" max="20" width="12.42578125" style="33" customWidth="1"/>
    <col min="21" max="21" width="20.42578125" style="33" customWidth="1"/>
    <col min="22" max="22" width="14.7109375" style="33" customWidth="1"/>
    <col min="23" max="23" width="18.42578125" style="35" customWidth="1" collapsed="1"/>
    <col min="24" max="24" width="12.7109375" style="36" customWidth="1"/>
    <col min="25" max="25" width="18.7109375" style="36" customWidth="1"/>
    <col min="26" max="26" width="12.7109375" style="35" customWidth="1"/>
    <col min="27" max="27" width="12.7109375" style="36" customWidth="1"/>
    <col min="28" max="28" width="18.7109375" style="36" customWidth="1"/>
    <col min="29" max="29" width="12.42578125" style="33" hidden="1" customWidth="1" outlineLevel="1"/>
    <col min="30" max="30" width="12" style="33" hidden="1" customWidth="1" outlineLevel="1"/>
    <col min="31" max="31" width="20.5703125" style="33" hidden="1" customWidth="1" outlineLevel="1"/>
    <col min="32" max="32" width="11.7109375" style="33" hidden="1" customWidth="1" outlineLevel="1"/>
    <col min="33" max="33" width="12" style="33" hidden="1" customWidth="1" outlineLevel="1"/>
    <col min="34" max="34" width="9.140625" style="33" hidden="1" customWidth="1" outlineLevel="1"/>
    <col min="35" max="35" width="11.7109375" style="33" hidden="1" customWidth="1" outlineLevel="1"/>
    <col min="36" max="36" width="12" style="33" hidden="1" customWidth="1" outlineLevel="1"/>
    <col min="37" max="37" width="9.140625" style="33" hidden="1" customWidth="1" outlineLevel="1"/>
    <col min="38" max="38" width="12.7109375" style="33" customWidth="1" collapsed="1"/>
    <col min="39" max="39" width="12.7109375" style="33" customWidth="1"/>
    <col min="40" max="40" width="18.7109375" style="33" customWidth="1"/>
    <col min="41" max="41" width="22.85546875" style="33" customWidth="1"/>
    <col min="42" max="42" width="12.7109375" style="33" customWidth="1"/>
    <col min="43" max="43" width="18.7109375" style="33" customWidth="1"/>
    <col min="44" max="45" width="12.7109375" style="33" customWidth="1"/>
    <col min="46" max="46" width="18.7109375" style="33" customWidth="1"/>
    <col min="47" max="48" width="12.7109375" style="33" customWidth="1"/>
    <col min="49" max="49" width="18.7109375" style="33" customWidth="1"/>
    <col min="50" max="50" width="11.85546875" style="33" hidden="1" customWidth="1" outlineLevel="1"/>
    <col min="51" max="51" width="11.42578125" style="33" hidden="1" customWidth="1" outlineLevel="1"/>
    <col min="52" max="52" width="20.5703125" style="33" hidden="1" customWidth="1" outlineLevel="1"/>
    <col min="53" max="53" width="11.85546875" style="33" hidden="1" customWidth="1" outlineLevel="1"/>
    <col min="54" max="54" width="11.42578125" style="33" hidden="1" customWidth="1" outlineLevel="1"/>
    <col min="55" max="55" width="9.140625" style="33" hidden="1" customWidth="1" outlineLevel="1"/>
    <col min="56" max="56" width="11.5703125" style="33" hidden="1" customWidth="1" outlineLevel="1"/>
    <col min="57" max="57" width="12" style="33" hidden="1" customWidth="1" outlineLevel="1"/>
    <col min="58" max="58" width="9.140625" style="33" hidden="1" customWidth="1" outlineLevel="1"/>
    <col min="59" max="59" width="12.7109375" style="33" customWidth="1" collapsed="1"/>
    <col min="60" max="60" width="12.7109375" style="33" customWidth="1"/>
    <col min="61" max="61" width="18.7109375" style="33" customWidth="1"/>
    <col min="62" max="16384" width="9.140625" style="33"/>
  </cols>
  <sheetData>
    <row r="1" spans="1:62" x14ac:dyDescent="0.2">
      <c r="D1" s="34"/>
    </row>
    <row r="2" spans="1:62" x14ac:dyDescent="0.2">
      <c r="D2" s="34"/>
      <c r="E2" s="33"/>
      <c r="F2" s="33"/>
      <c r="G2" s="33"/>
      <c r="H2" s="33"/>
      <c r="I2" s="33"/>
      <c r="J2" s="33"/>
      <c r="K2" s="33"/>
      <c r="L2" s="33"/>
      <c r="M2" s="33"/>
      <c r="W2" s="33"/>
      <c r="X2" s="33"/>
      <c r="Y2" s="33"/>
      <c r="Z2" s="33"/>
      <c r="AA2" s="33"/>
      <c r="AB2" s="33"/>
    </row>
    <row r="3" spans="1:62" x14ac:dyDescent="0.2">
      <c r="D3" s="34"/>
      <c r="E3" s="33"/>
      <c r="F3" s="33"/>
      <c r="G3" s="33"/>
      <c r="H3" s="33"/>
      <c r="I3" s="33"/>
      <c r="J3" s="33"/>
      <c r="K3" s="33"/>
      <c r="L3" s="33"/>
      <c r="M3" s="33"/>
      <c r="W3" s="33"/>
      <c r="X3" s="33"/>
      <c r="Y3" s="33"/>
      <c r="Z3" s="33"/>
      <c r="AA3" s="33"/>
      <c r="AB3" s="33"/>
    </row>
    <row r="4" spans="1:62" ht="15" thickBot="1" x14ac:dyDescent="0.25">
      <c r="D4" s="34"/>
      <c r="E4" s="33"/>
      <c r="F4" s="33"/>
      <c r="G4" s="33"/>
      <c r="H4" s="33"/>
      <c r="I4" s="33"/>
      <c r="J4" s="33"/>
      <c r="K4" s="33"/>
      <c r="L4" s="33"/>
      <c r="M4" s="33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</row>
    <row r="5" spans="1:62" ht="21" thickBot="1" x14ac:dyDescent="0.35">
      <c r="D5" s="34"/>
      <c r="E5" s="65"/>
      <c r="F5" s="65"/>
      <c r="G5" s="65"/>
      <c r="H5" s="65"/>
      <c r="I5" s="65"/>
      <c r="J5" s="65"/>
      <c r="K5" s="65"/>
      <c r="L5" s="65"/>
      <c r="M5" s="65"/>
      <c r="N5" s="386">
        <f ca="1">TODAY()</f>
        <v>43990</v>
      </c>
      <c r="O5" s="387"/>
      <c r="P5" s="387"/>
      <c r="Q5" s="387"/>
      <c r="R5" s="387"/>
      <c r="S5" s="387"/>
      <c r="T5" s="387"/>
      <c r="U5" s="387"/>
      <c r="V5" s="388"/>
      <c r="W5" s="396" t="s">
        <v>232</v>
      </c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397"/>
      <c r="BB5" s="397"/>
      <c r="BC5" s="397"/>
      <c r="BD5" s="397"/>
      <c r="BE5" s="397"/>
      <c r="BF5" s="397"/>
      <c r="BG5" s="397"/>
      <c r="BH5" s="397"/>
      <c r="BI5" s="398"/>
    </row>
    <row r="6" spans="1:62" x14ac:dyDescent="0.2">
      <c r="D6" s="34"/>
      <c r="E6" s="57"/>
      <c r="F6" s="38"/>
      <c r="G6" s="38"/>
      <c r="H6" s="57"/>
      <c r="I6" s="38"/>
      <c r="J6" s="38"/>
      <c r="K6" s="57"/>
      <c r="L6" s="38"/>
      <c r="M6" s="38"/>
      <c r="N6" s="34"/>
      <c r="O6" s="34"/>
      <c r="P6" s="34"/>
      <c r="Q6" s="63"/>
      <c r="R6" s="63"/>
      <c r="S6" s="63"/>
      <c r="T6" s="34"/>
      <c r="W6" s="37"/>
      <c r="X6" s="38"/>
      <c r="Y6" s="38"/>
      <c r="Z6" s="37"/>
      <c r="AA6" s="38"/>
      <c r="AB6" s="38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</row>
    <row r="7" spans="1:62" ht="15" thickBot="1" x14ac:dyDescent="0.25">
      <c r="D7" s="34"/>
      <c r="E7" s="184"/>
      <c r="F7" s="38"/>
      <c r="G7" s="38"/>
      <c r="H7" s="184"/>
      <c r="I7" s="38"/>
      <c r="J7" s="38"/>
      <c r="K7" s="184"/>
      <c r="L7" s="38"/>
      <c r="M7" s="38"/>
      <c r="N7" s="34"/>
      <c r="O7" s="34"/>
      <c r="P7" s="34"/>
      <c r="Q7" s="63"/>
      <c r="R7" s="63"/>
      <c r="S7" s="63"/>
      <c r="T7" s="34"/>
      <c r="W7" s="37"/>
      <c r="X7" s="38"/>
      <c r="Y7" s="38"/>
      <c r="Z7" s="37"/>
      <c r="AA7" s="38"/>
      <c r="AB7" s="38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</row>
    <row r="8" spans="1:62" ht="52.5" customHeight="1" thickTop="1" thickBot="1" x14ac:dyDescent="0.25">
      <c r="D8" s="34"/>
      <c r="E8" s="58"/>
      <c r="F8" s="38"/>
      <c r="G8" s="38"/>
      <c r="H8" s="58"/>
      <c r="I8" s="38"/>
      <c r="J8" s="38"/>
      <c r="K8" s="58"/>
      <c r="L8" s="38"/>
      <c r="M8" s="38"/>
      <c r="N8" s="389" t="s">
        <v>12</v>
      </c>
      <c r="O8" s="390"/>
      <c r="P8" s="390"/>
      <c r="Q8" s="390"/>
      <c r="R8" s="390"/>
      <c r="S8" s="390"/>
      <c r="T8" s="390"/>
      <c r="U8" s="390"/>
      <c r="V8" s="391"/>
      <c r="W8" s="37"/>
      <c r="X8" s="38"/>
      <c r="Y8" s="38"/>
      <c r="Z8" s="37"/>
      <c r="AA8" s="38"/>
      <c r="AB8" s="38"/>
    </row>
    <row r="9" spans="1:62" s="39" customFormat="1" ht="68.25" customHeight="1" thickTop="1" thickBot="1" x14ac:dyDescent="0.25">
      <c r="D9" s="204"/>
      <c r="E9" s="368" t="s">
        <v>201</v>
      </c>
      <c r="F9" s="369"/>
      <c r="G9" s="370"/>
      <c r="H9" s="368" t="s">
        <v>202</v>
      </c>
      <c r="I9" s="369"/>
      <c r="J9" s="370"/>
      <c r="K9" s="368" t="s">
        <v>203</v>
      </c>
      <c r="L9" s="369"/>
      <c r="M9" s="370"/>
      <c r="N9" s="371" t="s">
        <v>248</v>
      </c>
      <c r="O9" s="372"/>
      <c r="P9" s="372"/>
      <c r="Q9" s="372"/>
      <c r="R9" s="373"/>
      <c r="S9" s="371" t="s">
        <v>251</v>
      </c>
      <c r="T9" s="373"/>
      <c r="U9" s="371" t="s">
        <v>252</v>
      </c>
      <c r="V9" s="373"/>
      <c r="W9" s="399" t="s">
        <v>215</v>
      </c>
      <c r="X9" s="400"/>
      <c r="Y9" s="401"/>
      <c r="Z9" s="402" t="s">
        <v>13</v>
      </c>
      <c r="AA9" s="403"/>
      <c r="AB9" s="404"/>
      <c r="AC9" s="392" t="s">
        <v>183</v>
      </c>
      <c r="AD9" s="393"/>
      <c r="AE9" s="393"/>
      <c r="AF9" s="392" t="s">
        <v>183</v>
      </c>
      <c r="AG9" s="393"/>
      <c r="AH9" s="393"/>
      <c r="AI9" s="392" t="s">
        <v>183</v>
      </c>
      <c r="AJ9" s="393"/>
      <c r="AK9" s="393"/>
      <c r="AL9" s="406" t="s">
        <v>183</v>
      </c>
      <c r="AM9" s="407"/>
      <c r="AN9" s="407"/>
      <c r="AO9" s="410" t="s">
        <v>179</v>
      </c>
      <c r="AP9" s="411"/>
      <c r="AQ9" s="411"/>
      <c r="AR9" s="366" t="s">
        <v>180</v>
      </c>
      <c r="AS9" s="367"/>
      <c r="AT9" s="367"/>
      <c r="AU9" s="408" t="s">
        <v>181</v>
      </c>
      <c r="AV9" s="409"/>
      <c r="AW9" s="409"/>
      <c r="AX9" s="364" t="s">
        <v>182</v>
      </c>
      <c r="AY9" s="365"/>
      <c r="AZ9" s="365"/>
      <c r="BA9" s="364" t="s">
        <v>182</v>
      </c>
      <c r="BB9" s="365"/>
      <c r="BC9" s="365"/>
      <c r="BD9" s="405" t="s">
        <v>182</v>
      </c>
      <c r="BE9" s="365"/>
      <c r="BF9" s="365"/>
      <c r="BG9" s="394" t="s">
        <v>182</v>
      </c>
      <c r="BH9" s="395"/>
      <c r="BI9" s="395"/>
      <c r="BJ9" s="238"/>
    </row>
    <row r="10" spans="1:62" s="40" customFormat="1" ht="25.5" customHeight="1" outlineLevel="1" x14ac:dyDescent="0.2">
      <c r="D10" s="205" t="s">
        <v>0</v>
      </c>
      <c r="E10" s="206" t="s">
        <v>201</v>
      </c>
      <c r="F10" s="207" t="s">
        <v>201</v>
      </c>
      <c r="G10" s="207" t="s">
        <v>201</v>
      </c>
      <c r="H10" s="206" t="s">
        <v>202</v>
      </c>
      <c r="I10" s="207" t="s">
        <v>202</v>
      </c>
      <c r="J10" s="208" t="s">
        <v>202</v>
      </c>
      <c r="K10" s="206" t="s">
        <v>209</v>
      </c>
      <c r="L10" s="206" t="s">
        <v>209</v>
      </c>
      <c r="M10" s="206" t="s">
        <v>209</v>
      </c>
      <c r="N10" s="51"/>
      <c r="O10" s="32"/>
      <c r="P10" s="32"/>
      <c r="Q10" s="61"/>
      <c r="R10" s="193"/>
      <c r="S10" s="190"/>
      <c r="T10" s="195"/>
      <c r="U10" s="211"/>
      <c r="V10" s="212"/>
      <c r="W10" s="206"/>
      <c r="X10" s="207"/>
      <c r="Y10" s="209"/>
      <c r="Z10" s="206" t="s">
        <v>185</v>
      </c>
      <c r="AA10" s="207" t="s">
        <v>185</v>
      </c>
      <c r="AB10" s="209" t="s">
        <v>185</v>
      </c>
      <c r="AC10" s="206" t="s">
        <v>111</v>
      </c>
      <c r="AD10" s="207" t="s">
        <v>111</v>
      </c>
      <c r="AE10" s="207" t="s">
        <v>111</v>
      </c>
      <c r="AF10" s="206" t="s">
        <v>113</v>
      </c>
      <c r="AG10" s="207" t="s">
        <v>113</v>
      </c>
      <c r="AH10" s="207" t="s">
        <v>113</v>
      </c>
      <c r="AI10" s="206" t="s">
        <v>210</v>
      </c>
      <c r="AJ10" s="207" t="s">
        <v>210</v>
      </c>
      <c r="AK10" s="207" t="s">
        <v>210</v>
      </c>
      <c r="AL10" s="206"/>
      <c r="AM10" s="207"/>
      <c r="AN10" s="207"/>
      <c r="AO10" s="206" t="s">
        <v>116</v>
      </c>
      <c r="AP10" s="207" t="s">
        <v>116</v>
      </c>
      <c r="AQ10" s="207" t="s">
        <v>116</v>
      </c>
      <c r="AR10" s="206" t="s">
        <v>119</v>
      </c>
      <c r="AS10" s="207" t="s">
        <v>119</v>
      </c>
      <c r="AT10" s="207" t="s">
        <v>119</v>
      </c>
      <c r="AU10" s="206" t="s">
        <v>114</v>
      </c>
      <c r="AV10" s="207" t="s">
        <v>114</v>
      </c>
      <c r="AW10" s="207" t="s">
        <v>114</v>
      </c>
      <c r="AX10" s="206" t="s">
        <v>218</v>
      </c>
      <c r="AY10" s="207" t="s">
        <v>218</v>
      </c>
      <c r="AZ10" s="207" t="s">
        <v>218</v>
      </c>
      <c r="BA10" s="206" t="s">
        <v>133</v>
      </c>
      <c r="BB10" s="207" t="s">
        <v>133</v>
      </c>
      <c r="BC10" s="207" t="s">
        <v>133</v>
      </c>
      <c r="BD10" s="210" t="s">
        <v>170</v>
      </c>
      <c r="BE10" s="210" t="s">
        <v>170</v>
      </c>
      <c r="BF10" s="210" t="s">
        <v>170</v>
      </c>
      <c r="BG10" s="236"/>
      <c r="BH10" s="210"/>
      <c r="BI10" s="210"/>
      <c r="BJ10" s="239"/>
    </row>
    <row r="11" spans="1:62" s="40" customFormat="1" ht="25.5" customHeight="1" outlineLevel="1" thickBot="1" x14ac:dyDescent="0.25">
      <c r="D11" s="205" t="s">
        <v>0</v>
      </c>
      <c r="E11" s="44"/>
      <c r="F11" s="43"/>
      <c r="G11" s="43"/>
      <c r="H11" s="44"/>
      <c r="I11" s="43"/>
      <c r="J11" s="43"/>
      <c r="K11" s="44"/>
      <c r="L11" s="43"/>
      <c r="M11" s="43"/>
      <c r="N11" s="49"/>
      <c r="O11" s="24"/>
      <c r="P11" s="24"/>
      <c r="Q11" s="62"/>
      <c r="R11" s="194"/>
      <c r="S11" s="191"/>
      <c r="T11" s="196"/>
      <c r="U11" s="213"/>
      <c r="V11" s="214"/>
      <c r="W11" s="44"/>
      <c r="X11" s="43"/>
      <c r="Y11" s="45"/>
      <c r="Z11" s="44"/>
      <c r="AA11" s="43"/>
      <c r="AB11" s="45"/>
      <c r="AC11" s="44"/>
      <c r="AD11" s="43"/>
      <c r="AE11" s="43"/>
      <c r="AF11" s="49"/>
      <c r="AG11" s="24"/>
      <c r="AH11" s="24"/>
      <c r="AI11" s="49"/>
      <c r="AJ11" s="24"/>
      <c r="AK11" s="24"/>
      <c r="AL11" s="49"/>
      <c r="AM11" s="24"/>
      <c r="AN11" s="24"/>
      <c r="AO11" s="49"/>
      <c r="AP11" s="24"/>
      <c r="AQ11" s="24"/>
      <c r="AR11" s="49"/>
      <c r="AS11" s="24"/>
      <c r="AT11" s="24"/>
      <c r="AU11" s="49"/>
      <c r="AV11" s="24"/>
      <c r="AW11" s="24"/>
      <c r="AX11" s="49"/>
      <c r="AY11" s="24"/>
      <c r="AZ11" s="24"/>
      <c r="BA11" s="49"/>
      <c r="BB11" s="24"/>
      <c r="BC11" s="24"/>
      <c r="BD11" s="47"/>
      <c r="BE11" s="24"/>
      <c r="BF11" s="24"/>
      <c r="BG11" s="237"/>
      <c r="BH11" s="24"/>
      <c r="BI11" s="24"/>
      <c r="BJ11" s="239"/>
    </row>
    <row r="12" spans="1:62" ht="44.25" customHeight="1" thickBot="1" x14ac:dyDescent="0.25">
      <c r="D12" s="378" t="s">
        <v>0</v>
      </c>
      <c r="E12" s="185" t="s">
        <v>16</v>
      </c>
      <c r="F12" s="186" t="s">
        <v>9</v>
      </c>
      <c r="G12" s="197"/>
      <c r="H12" s="185" t="s">
        <v>16</v>
      </c>
      <c r="I12" s="186" t="s">
        <v>9</v>
      </c>
      <c r="J12" s="187"/>
      <c r="K12" s="185" t="s">
        <v>16</v>
      </c>
      <c r="L12" s="186" t="s">
        <v>9</v>
      </c>
      <c r="M12" s="187"/>
      <c r="N12" s="270" t="s">
        <v>16</v>
      </c>
      <c r="O12" s="383" t="s">
        <v>9</v>
      </c>
      <c r="P12" s="384"/>
      <c r="Q12" s="384"/>
      <c r="R12" s="385"/>
      <c r="S12" s="379" t="s">
        <v>9</v>
      </c>
      <c r="T12" s="380"/>
      <c r="U12" s="381" t="s">
        <v>9</v>
      </c>
      <c r="V12" s="382"/>
      <c r="W12" s="266" t="s">
        <v>16</v>
      </c>
      <c r="X12" s="374" t="s">
        <v>9</v>
      </c>
      <c r="Y12" s="375"/>
      <c r="Z12" s="266" t="s">
        <v>16</v>
      </c>
      <c r="AA12" s="374" t="s">
        <v>9</v>
      </c>
      <c r="AB12" s="375"/>
      <c r="AC12" s="266" t="s">
        <v>16</v>
      </c>
      <c r="AD12" s="374" t="s">
        <v>9</v>
      </c>
      <c r="AE12" s="377"/>
      <c r="AF12" s="266" t="s">
        <v>16</v>
      </c>
      <c r="AG12" s="374" t="s">
        <v>9</v>
      </c>
      <c r="AH12" s="377"/>
      <c r="AI12" s="266" t="s">
        <v>16</v>
      </c>
      <c r="AJ12" s="374" t="s">
        <v>9</v>
      </c>
      <c r="AK12" s="377"/>
      <c r="AL12" s="266" t="s">
        <v>16</v>
      </c>
      <c r="AM12" s="374" t="s">
        <v>9</v>
      </c>
      <c r="AN12" s="375"/>
      <c r="AO12" s="268" t="s">
        <v>16</v>
      </c>
      <c r="AP12" s="374" t="s">
        <v>9</v>
      </c>
      <c r="AQ12" s="375"/>
      <c r="AR12" s="268" t="s">
        <v>16</v>
      </c>
      <c r="AS12" s="374" t="s">
        <v>9</v>
      </c>
      <c r="AT12" s="375"/>
      <c r="AU12" s="268" t="s">
        <v>16</v>
      </c>
      <c r="AV12" s="374" t="s">
        <v>9</v>
      </c>
      <c r="AW12" s="375"/>
      <c r="AX12" s="269" t="s">
        <v>16</v>
      </c>
      <c r="AY12" s="376" t="s">
        <v>9</v>
      </c>
      <c r="AZ12" s="377"/>
      <c r="BA12" s="269" t="s">
        <v>16</v>
      </c>
      <c r="BB12" s="376" t="s">
        <v>9</v>
      </c>
      <c r="BC12" s="377"/>
      <c r="BD12" s="269" t="s">
        <v>16</v>
      </c>
      <c r="BE12" s="376" t="s">
        <v>9</v>
      </c>
      <c r="BF12" s="377"/>
      <c r="BG12" s="267" t="s">
        <v>16</v>
      </c>
      <c r="BH12" s="374" t="s">
        <v>9</v>
      </c>
      <c r="BI12" s="375"/>
      <c r="BJ12" s="240"/>
    </row>
    <row r="13" spans="1:62" s="35" customFormat="1" ht="27" customHeight="1" thickBot="1" x14ac:dyDescent="0.3">
      <c r="B13" s="35" t="s">
        <v>186</v>
      </c>
      <c r="C13" s="35" t="s">
        <v>187</v>
      </c>
      <c r="D13" s="378"/>
      <c r="E13" s="46" t="s">
        <v>10</v>
      </c>
      <c r="F13" s="64" t="s">
        <v>10</v>
      </c>
      <c r="G13" s="25" t="s">
        <v>8</v>
      </c>
      <c r="H13" s="46" t="s">
        <v>10</v>
      </c>
      <c r="I13" s="64" t="s">
        <v>10</v>
      </c>
      <c r="J13" s="25" t="s">
        <v>8</v>
      </c>
      <c r="K13" s="46" t="s">
        <v>10</v>
      </c>
      <c r="L13" s="64" t="s">
        <v>10</v>
      </c>
      <c r="M13" s="25" t="s">
        <v>8</v>
      </c>
      <c r="N13" s="225" t="s">
        <v>10</v>
      </c>
      <c r="O13" s="226" t="s">
        <v>10</v>
      </c>
      <c r="P13" s="313" t="s">
        <v>217</v>
      </c>
      <c r="Q13" s="314" t="s">
        <v>216</v>
      </c>
      <c r="R13" s="315" t="s">
        <v>214</v>
      </c>
      <c r="S13" s="316" t="s">
        <v>8</v>
      </c>
      <c r="T13" s="317" t="s">
        <v>214</v>
      </c>
      <c r="U13" s="316" t="s">
        <v>8</v>
      </c>
      <c r="V13" s="317" t="s">
        <v>214</v>
      </c>
      <c r="W13" s="46" t="s">
        <v>10</v>
      </c>
      <c r="X13" s="64" t="s">
        <v>10</v>
      </c>
      <c r="Y13" s="192" t="s">
        <v>8</v>
      </c>
      <c r="Z13" s="64" t="s">
        <v>10</v>
      </c>
      <c r="AA13" s="64" t="s">
        <v>10</v>
      </c>
      <c r="AB13" s="192" t="s">
        <v>8</v>
      </c>
      <c r="AC13" s="46" t="s">
        <v>10</v>
      </c>
      <c r="AD13" s="64" t="s">
        <v>10</v>
      </c>
      <c r="AE13" s="25" t="s">
        <v>8</v>
      </c>
      <c r="AF13" s="50" t="s">
        <v>10</v>
      </c>
      <c r="AG13" s="219" t="s">
        <v>10</v>
      </c>
      <c r="AH13" s="5" t="s">
        <v>8</v>
      </c>
      <c r="AI13" s="50" t="s">
        <v>10</v>
      </c>
      <c r="AJ13" s="219" t="s">
        <v>10</v>
      </c>
      <c r="AK13" s="5" t="s">
        <v>8</v>
      </c>
      <c r="AL13" s="50" t="s">
        <v>10</v>
      </c>
      <c r="AM13" s="219" t="s">
        <v>10</v>
      </c>
      <c r="AN13" s="5" t="s">
        <v>8</v>
      </c>
      <c r="AO13" s="50" t="s">
        <v>10</v>
      </c>
      <c r="AP13" s="219" t="s">
        <v>10</v>
      </c>
      <c r="AQ13" s="5" t="s">
        <v>8</v>
      </c>
      <c r="AR13" s="50" t="s">
        <v>10</v>
      </c>
      <c r="AS13" s="219" t="s">
        <v>10</v>
      </c>
      <c r="AT13" s="5" t="s">
        <v>8</v>
      </c>
      <c r="AU13" s="50" t="s">
        <v>10</v>
      </c>
      <c r="AV13" s="219" t="s">
        <v>10</v>
      </c>
      <c r="AW13" s="5" t="s">
        <v>8</v>
      </c>
      <c r="AX13" s="50" t="s">
        <v>10</v>
      </c>
      <c r="AY13" s="219" t="s">
        <v>10</v>
      </c>
      <c r="AZ13" s="5" t="s">
        <v>8</v>
      </c>
      <c r="BA13" s="50" t="s">
        <v>10</v>
      </c>
      <c r="BB13" s="219" t="s">
        <v>10</v>
      </c>
      <c r="BC13" s="5" t="s">
        <v>8</v>
      </c>
      <c r="BD13" s="48" t="s">
        <v>10</v>
      </c>
      <c r="BE13" s="219" t="s">
        <v>10</v>
      </c>
      <c r="BF13" s="5" t="s">
        <v>8</v>
      </c>
      <c r="BG13" s="5" t="s">
        <v>10</v>
      </c>
      <c r="BH13" s="234" t="s">
        <v>10</v>
      </c>
      <c r="BI13" s="5" t="s">
        <v>8</v>
      </c>
      <c r="BJ13" s="241"/>
    </row>
    <row r="14" spans="1:62" s="39" customFormat="1" ht="17.25" thickTop="1" thickBot="1" x14ac:dyDescent="0.25">
      <c r="A14" s="59" t="s">
        <v>195</v>
      </c>
      <c r="B14" s="41">
        <v>1</v>
      </c>
      <c r="C14" s="41">
        <v>1</v>
      </c>
      <c r="D14" s="198" t="s">
        <v>138</v>
      </c>
      <c r="E14" s="285">
        <f t="shared" ref="E14:M14" si="0">SUM(E15:E20)</f>
        <v>0</v>
      </c>
      <c r="F14" s="286">
        <f t="shared" si="0"/>
        <v>0</v>
      </c>
      <c r="G14" s="357">
        <f t="shared" si="0"/>
        <v>0</v>
      </c>
      <c r="H14" s="285">
        <f t="shared" si="0"/>
        <v>0</v>
      </c>
      <c r="I14" s="286">
        <f t="shared" si="0"/>
        <v>0</v>
      </c>
      <c r="J14" s="357">
        <f t="shared" si="0"/>
        <v>0</v>
      </c>
      <c r="K14" s="285">
        <f t="shared" si="0"/>
        <v>0</v>
      </c>
      <c r="L14" s="286">
        <f t="shared" si="0"/>
        <v>0</v>
      </c>
      <c r="M14" s="357">
        <f t="shared" si="0"/>
        <v>0</v>
      </c>
      <c r="N14" s="464">
        <f t="shared" ref="N14:N53" si="1" xml:space="preserve"> Z14+AL14+AO14+AR14+AU14+BG14</f>
        <v>0</v>
      </c>
      <c r="O14" s="287">
        <f t="shared" ref="O14:O53" si="2" xml:space="preserve"> AA14+AM14+AP14+AS14+AV14+BH14</f>
        <v>0</v>
      </c>
      <c r="P14" s="347">
        <f t="shared" ref="P14:P53" si="3">AB14+AN14+AQ14+AT14+AW14+BI14</f>
        <v>0</v>
      </c>
      <c r="Q14" s="347">
        <f>SUM(Q15:Q20)</f>
        <v>0</v>
      </c>
      <c r="R14" s="325" t="e">
        <f t="shared" ref="R14:R36" si="4">P14/Q14</f>
        <v>#DIV/0!</v>
      </c>
      <c r="S14" s="357">
        <f>SUM(S15:S20)</f>
        <v>0</v>
      </c>
      <c r="T14" s="333" t="e">
        <f t="shared" ref="T14:T36" si="5">S14/$Q14</f>
        <v>#DIV/0!</v>
      </c>
      <c r="U14" s="357">
        <f t="shared" ref="U14:U53" si="6">P14+S14</f>
        <v>0</v>
      </c>
      <c r="V14" s="319" t="e">
        <f t="shared" ref="V14:V36" si="7">U14/Q14</f>
        <v>#DIV/0!</v>
      </c>
      <c r="W14" s="288">
        <f t="shared" ref="W14:W53" si="8">E14+H14+K14</f>
        <v>0</v>
      </c>
      <c r="X14" s="289">
        <f t="shared" ref="X14:X53" si="9">F14+I14+L14</f>
        <v>0</v>
      </c>
      <c r="Y14" s="357">
        <f t="shared" ref="Y14:Y53" si="10">G14+J14+M14</f>
        <v>0</v>
      </c>
      <c r="Z14" s="288">
        <f t="shared" ref="Z14:AK14" si="11">SUM(Z15:Z20)</f>
        <v>0</v>
      </c>
      <c r="AA14" s="288">
        <f t="shared" si="11"/>
        <v>0</v>
      </c>
      <c r="AB14" s="357">
        <f t="shared" si="11"/>
        <v>0</v>
      </c>
      <c r="AC14" s="288">
        <f t="shared" si="11"/>
        <v>0</v>
      </c>
      <c r="AD14" s="289">
        <f t="shared" si="11"/>
        <v>0</v>
      </c>
      <c r="AE14" s="357">
        <f t="shared" si="11"/>
        <v>0</v>
      </c>
      <c r="AF14" s="288">
        <f t="shared" si="11"/>
        <v>0</v>
      </c>
      <c r="AG14" s="289">
        <f t="shared" si="11"/>
        <v>0</v>
      </c>
      <c r="AH14" s="357">
        <f t="shared" si="11"/>
        <v>0</v>
      </c>
      <c r="AI14" s="288">
        <f t="shared" si="11"/>
        <v>0</v>
      </c>
      <c r="AJ14" s="289">
        <f t="shared" si="11"/>
        <v>0</v>
      </c>
      <c r="AK14" s="357">
        <f t="shared" si="11"/>
        <v>0</v>
      </c>
      <c r="AL14" s="288">
        <f t="shared" ref="AL14:AL52" si="12">AC14+AF14+AI14</f>
        <v>0</v>
      </c>
      <c r="AM14" s="289">
        <f t="shared" ref="AM14:AM52" si="13">AD14+AG14+AJ14</f>
        <v>0</v>
      </c>
      <c r="AN14" s="357">
        <f t="shared" ref="AN14:AN52" si="14">AE14+AH14+AK14</f>
        <v>0</v>
      </c>
      <c r="AO14" s="289">
        <f t="shared" ref="AO14:BF14" si="15">SUM(AO15:AO20)</f>
        <v>0</v>
      </c>
      <c r="AP14" s="289">
        <f t="shared" si="15"/>
        <v>0</v>
      </c>
      <c r="AQ14" s="357">
        <f t="shared" si="15"/>
        <v>0</v>
      </c>
      <c r="AR14" s="289">
        <f t="shared" si="15"/>
        <v>0</v>
      </c>
      <c r="AS14" s="289">
        <f t="shared" si="15"/>
        <v>0</v>
      </c>
      <c r="AT14" s="357">
        <f t="shared" si="15"/>
        <v>0</v>
      </c>
      <c r="AU14" s="289">
        <f t="shared" si="15"/>
        <v>0</v>
      </c>
      <c r="AV14" s="289">
        <f t="shared" si="15"/>
        <v>0</v>
      </c>
      <c r="AW14" s="357">
        <f t="shared" si="15"/>
        <v>0</v>
      </c>
      <c r="AX14" s="288">
        <f t="shared" si="15"/>
        <v>0</v>
      </c>
      <c r="AY14" s="289">
        <f t="shared" si="15"/>
        <v>0</v>
      </c>
      <c r="AZ14" s="357">
        <f t="shared" si="15"/>
        <v>0</v>
      </c>
      <c r="BA14" s="288">
        <f t="shared" si="15"/>
        <v>0</v>
      </c>
      <c r="BB14" s="289">
        <f t="shared" si="15"/>
        <v>0</v>
      </c>
      <c r="BC14" s="357">
        <f t="shared" si="15"/>
        <v>0</v>
      </c>
      <c r="BD14" s="290">
        <f t="shared" si="15"/>
        <v>0</v>
      </c>
      <c r="BE14" s="289">
        <f t="shared" si="15"/>
        <v>0</v>
      </c>
      <c r="BF14" s="357">
        <f t="shared" si="15"/>
        <v>0</v>
      </c>
      <c r="BG14" s="289">
        <f t="shared" ref="BG14:BG53" si="16">AX14+BA14+BD14</f>
        <v>0</v>
      </c>
      <c r="BH14" s="289">
        <f t="shared" ref="BH14:BH53" si="17">AY14+BB14+BE14</f>
        <v>0</v>
      </c>
      <c r="BI14" s="357">
        <f t="shared" ref="BI14:BI53" si="18">AZ14+BC14+BF14</f>
        <v>0</v>
      </c>
      <c r="BJ14" s="238"/>
    </row>
    <row r="15" spans="1:62" s="39" customFormat="1" ht="15.75" thickBot="1" x14ac:dyDescent="0.25">
      <c r="A15" s="59"/>
      <c r="B15" s="41">
        <v>9</v>
      </c>
      <c r="C15" s="41">
        <v>1</v>
      </c>
      <c r="D15" s="199" t="s">
        <v>262</v>
      </c>
      <c r="E15" s="291">
        <f>COUNTIFS('Details-Products'!$C$7:$C$100000,$C15,'Details-Products'!$D$7:$D$100000,$B15,'Details-Products'!$BL$7:$BL$100000,E$10)</f>
        <v>0</v>
      </c>
      <c r="F15" s="292">
        <f>COUNTIFS('Details-Products'!$C$7:$C$100000,$C15,'Details-Products'!$D$7:$D$100000,$B15,'Details-Products'!$BL$7:$BL$100000,F$10,'Details-Products'!$X$7:$X$100000,"YES")</f>
        <v>0</v>
      </c>
      <c r="G15" s="358">
        <f>SUMIFS('Details-Products'!$Z$7:$Z$100000,'Details-Products'!$C$7:$C$100000,$C15,'Details-Products'!$D$7:$D$100000,$B15,'Details-Products'!$BL$7:$BL$100000,G$10,'Details-Products'!$X$7:$X$100000,"YES")</f>
        <v>0</v>
      </c>
      <c r="H15" s="291">
        <f>COUNTIFS('Details-Products'!$C$7:$C$100000,$C15,'Details-Products'!$D$7:$D$100000,$B15,'Details-Products'!$BL$7:$BL$100000,H$10)</f>
        <v>0</v>
      </c>
      <c r="I15" s="292">
        <f>COUNTIFS('Details-Products'!$C$7:$C$100000,$C15,'Details-Products'!$D$7:$D$100000,$B15,'Details-Products'!$BL$7:$BL$100000,I$10,'Details-Products'!$X$7:$X$100000,"YES")</f>
        <v>0</v>
      </c>
      <c r="J15" s="358">
        <f>SUMIFS('Details-Products'!$Z$7:$Z$100000,'Details-Products'!$C$7:$C$100000,$C15,'Details-Products'!$D$7:$D$100000,$B15,'Details-Products'!$BL$7:$BL$100000,J$10,'Details-Products'!$X$7:$X$100000,"YES")</f>
        <v>0</v>
      </c>
      <c r="K15" s="291">
        <f>COUNTIFS('Details-Products'!$C$7:$C$100000,$C15,'Details-Products'!$D$7:$D$100000,$B15,'Details-Products'!$BL$7:$BL$100000,K$10)</f>
        <v>0</v>
      </c>
      <c r="L15" s="292">
        <f>COUNTIFS('Details-Products'!$C$7:$C$100000,$C15,'Details-Products'!$D$7:$D$100000,$B15,'Details-Products'!$BL$7:$BL$100000,L$10,'Details-Products'!$X$7:$X$100000,"YES")</f>
        <v>0</v>
      </c>
      <c r="M15" s="358">
        <f>SUMIFS('Details-Products'!$Z$7:$Z$100000,'Details-Products'!$C$7:$C$100000,$C15,'Details-Products'!$D$7:$D$100000,$B15,'Details-Products'!$BL$7:$BL$100000,M$10,'Details-Products'!$X$7:$X$100000,"YES")</f>
        <v>0</v>
      </c>
      <c r="N15" s="465">
        <f t="shared" si="1"/>
        <v>0</v>
      </c>
      <c r="O15" s="293">
        <f t="shared" si="2"/>
        <v>0</v>
      </c>
      <c r="P15" s="348">
        <f t="shared" si="3"/>
        <v>0</v>
      </c>
      <c r="Q15" s="348">
        <f>VLOOKUP(B15,Ttl_Inv!A:E,4,FALSE)</f>
        <v>0</v>
      </c>
      <c r="R15" s="326" t="e">
        <f t="shared" si="4"/>
        <v>#DIV/0!</v>
      </c>
      <c r="S15" s="358">
        <f>SUMIFS('Additional Color Sizes Report'!$R:$R,'Additional Color Sizes Report'!$B:$B,$B15)</f>
        <v>0</v>
      </c>
      <c r="T15" s="334" t="e">
        <f t="shared" si="5"/>
        <v>#DIV/0!</v>
      </c>
      <c r="U15" s="358">
        <f t="shared" si="6"/>
        <v>0</v>
      </c>
      <c r="V15" s="320" t="e">
        <f t="shared" si="7"/>
        <v>#DIV/0!</v>
      </c>
      <c r="W15" s="291">
        <f t="shared" si="8"/>
        <v>0</v>
      </c>
      <c r="X15" s="292">
        <f t="shared" si="9"/>
        <v>0</v>
      </c>
      <c r="Y15" s="358">
        <f t="shared" si="10"/>
        <v>0</v>
      </c>
      <c r="Z15" s="291">
        <f>COUNTIFS('Details-Products'!$C$7:$C$100000,$C15,'Details-Products'!$D$7:$D$100000,$B15,'Details-Products'!$BL$7:$BL$100000,Z$10)</f>
        <v>0</v>
      </c>
      <c r="AA15" s="291">
        <f>COUNTIFS('Details-Products'!$C$7:$C$100000,$C15,'Details-Products'!$D$7:$D$100000,$B15,'Details-Products'!$BL$7:$BL$100000,AA$10,'Details-Products'!$X$7:$X$100000,"YES")</f>
        <v>0</v>
      </c>
      <c r="AB15" s="358">
        <f>SUMIFS('Details-Products'!$Z$7:$Z$100000,'Details-Products'!$C$7:$C$100000,$C15,'Details-Products'!$D$7:$D$100000,$B15,'Details-Products'!$BL$7:$BL$100000,AB$10,'Details-Products'!$X$7:$X$100000,"YES")</f>
        <v>0</v>
      </c>
      <c r="AC15" s="291">
        <f>COUNTIFS('Details-Products'!$C$7:$C$100000,$C15,'Details-Products'!$D$7:$D$100000,$B15,'Details-Products'!$BL$7:$BL$100000,AC$10)</f>
        <v>0</v>
      </c>
      <c r="AD15" s="292">
        <f>COUNTIFS('Details-Products'!$C$7:$C$100000,$C15,'Details-Products'!$D$7:$D$100000,$B15,'Details-Products'!$BL$7:$BL$100000,AD$10,'Details-Products'!$X$7:$X$100000,"YES")</f>
        <v>0</v>
      </c>
      <c r="AE15" s="358">
        <f>SUMIFS('Details-Products'!$Z$7:$Z$100000,'Details-Products'!$C$7:$C$100000,$C15,'Details-Products'!$D$7:$D$100000,$B15,'Details-Products'!$BL$7:$BL$100000,AE$10,'Details-Products'!$X$7:$X$100000,"YES")</f>
        <v>0</v>
      </c>
      <c r="AF15" s="291">
        <f>COUNTIFS('Details-Products'!$C$7:$C$100000,$C15,'Details-Products'!$D$7:$D$100000,$B15,'Details-Products'!$BL$7:$BL$100000,AF$10)</f>
        <v>0</v>
      </c>
      <c r="AG15" s="292">
        <f>COUNTIFS('Details-Products'!$C$7:$C$100000,$C15,'Details-Products'!$D$7:$D$100000,$B15,'Details-Products'!$BL$7:$BL$100000,AG$10,'Details-Products'!$X$7:$X$100000,"YES")</f>
        <v>0</v>
      </c>
      <c r="AH15" s="358">
        <f>SUMIFS('Details-Products'!$Z$7:$Z$100000,'Details-Products'!$C$7:$C$100000,$C15,'Details-Products'!$D$7:$D$100000,$B15,'Details-Products'!$BL$7:$BL$100000,AH$10,'Details-Products'!$X$7:$X$100000,"YES")</f>
        <v>0</v>
      </c>
      <c r="AI15" s="291">
        <f>COUNTIFS('Details-Products'!$C$7:$C$100000,$C15,'Details-Products'!$D$7:$D$100000,$B15,'Details-Products'!$BL$7:$BL$100000,AI$10)</f>
        <v>0</v>
      </c>
      <c r="AJ15" s="292">
        <f>COUNTIFS('Details-Products'!$C$7:$C$100000,$C15,'Details-Products'!$D$7:$D$100000,$B15,'Details-Products'!$BL$7:$BL$100000,AJ$10,'Details-Products'!$X$7:$X$100000,"YES")</f>
        <v>0</v>
      </c>
      <c r="AK15" s="358">
        <f>SUMIFS('Details-Products'!$Z$7:$Z$100000,'Details-Products'!$C$7:$C$100000,$C15,'Details-Products'!$D$7:$D$100000,$B15,'Details-Products'!$BL$7:$BL$100000,AK$10,'Details-Products'!$X$7:$X$100000,"YES")</f>
        <v>0</v>
      </c>
      <c r="AL15" s="291">
        <f t="shared" si="12"/>
        <v>0</v>
      </c>
      <c r="AM15" s="292">
        <f t="shared" si="13"/>
        <v>0</v>
      </c>
      <c r="AN15" s="358">
        <f t="shared" si="14"/>
        <v>0</v>
      </c>
      <c r="AO15" s="292">
        <f>COUNTIFS('Details-Products'!$C$7:$C$100000,$C15,'Details-Products'!$D$7:$D$100000,$B15,'Details-Products'!$BL$7:$BL$100000,AO$10)</f>
        <v>0</v>
      </c>
      <c r="AP15" s="292">
        <f>COUNTIFS('Details-Products'!$C$7:$C$100000,$C15,'Details-Products'!$D$7:$D$100000,$B15,'Details-Products'!$BL$7:$BL$100000,AP$10,'Details-Products'!$X$7:$X$100000,"YES")</f>
        <v>0</v>
      </c>
      <c r="AQ15" s="358">
        <f>SUMIFS('Details-Products'!$Z$7:$Z$100000,'Details-Products'!$C$7:$C$100000,$C15,'Details-Products'!$D$7:$D$100000,$B15,'Details-Products'!$BL$7:$BL$100000,AQ$10,'Details-Products'!$X$7:$X$100000,"YES")</f>
        <v>0</v>
      </c>
      <c r="AR15" s="292">
        <f>COUNTIFS('Details-Products'!$C$7:$C$100000,$C15,'Details-Products'!$D$7:$D$100000,$B15,'Details-Products'!$BL$7:$BL$100000,AR$10)</f>
        <v>0</v>
      </c>
      <c r="AS15" s="292">
        <f>COUNTIFS('Details-Products'!$C$7:$C$100000,$C15,'Details-Products'!$D$7:$D$100000,$B15,'Details-Products'!$BL$7:$BL$100000,AS$10,'Details-Products'!$X$7:$X$100000,"YES")</f>
        <v>0</v>
      </c>
      <c r="AT15" s="358">
        <f>SUMIFS('Details-Products'!$Z$7:$Z$100000,'Details-Products'!$C$7:$C$100000,$C15,'Details-Products'!$D$7:$D$100000,$B15,'Details-Products'!$BL$7:$BL$100000,AT$10,'Details-Products'!$X$7:$X$100000,"YES")</f>
        <v>0</v>
      </c>
      <c r="AU15" s="292">
        <f>COUNTIFS('Details-Products'!$C$7:$C$100000,$C15,'Details-Products'!$D$7:$D$100000,$B15,'Details-Products'!$BL$7:$BL$100000,AU$10)</f>
        <v>0</v>
      </c>
      <c r="AV15" s="292">
        <f>COUNTIFS('Details-Products'!$C$7:$C$100000,$C15,'Details-Products'!$D$7:$D$100000,$B15,'Details-Products'!$BL$7:$BL$100000,AV$10,'Details-Products'!$X$7:$X$100000,"YES")</f>
        <v>0</v>
      </c>
      <c r="AW15" s="358">
        <f>SUMIFS('Details-Products'!$Z$7:$Z$100000,'Details-Products'!$C$7:$C$100000,$C15,'Details-Products'!$D$7:$D$100000,$B15,'Details-Products'!$BL$7:$BL$100000,AW$10,'Details-Products'!$X$7:$X$100000,"YES")</f>
        <v>0</v>
      </c>
      <c r="AX15" s="291">
        <f>COUNTIFS('Details-Products'!$C$7:$C$100000,$C15,'Details-Products'!$D$7:$D$100000,$B15,'Details-Products'!$BL$7:$BL$100000,AX$10)</f>
        <v>0</v>
      </c>
      <c r="AY15" s="292">
        <f>COUNTIFS('Details-Products'!$C$7:$C$100000,$C15,'Details-Products'!$D$7:$D$100000,$B15,'Details-Products'!$BL$7:$BL$100000,AY$10,'Details-Products'!$X$7:$X$100000,"YES")</f>
        <v>0</v>
      </c>
      <c r="AZ15" s="358">
        <f>SUMIFS('Details-Products'!$Z$7:$Z$100000,'Details-Products'!$C$7:$C$100000,$C15,'Details-Products'!$D$7:$D$100000,$B15,'Details-Products'!$BL$7:$BL$100000,AZ$10,'Details-Products'!$X$7:$X$100000,"YES")</f>
        <v>0</v>
      </c>
      <c r="BA15" s="291">
        <f>COUNTIFS('Details-Products'!$C$7:$C$100000,$C15,'Details-Products'!$D$7:$D$100000,$B15,'Details-Products'!$BL$7:$BL$100000,BA$10)</f>
        <v>0</v>
      </c>
      <c r="BB15" s="292">
        <f>COUNTIFS('Details-Products'!$C$7:$C$100000,$C15,'Details-Products'!$D$7:$D$100000,$B15,'Details-Products'!$BL$7:$BL$100000,BB$10,'Details-Products'!$X$7:$X$100000,"YES")</f>
        <v>0</v>
      </c>
      <c r="BC15" s="358">
        <f>SUMIFS('Details-Products'!$Z$7:$Z$100000,'Details-Products'!$C$7:$C$100000,$C15,'Details-Products'!$D$7:$D$100000,$B15,'Details-Products'!$BL$7:$BL$100000,BC$10,'Details-Products'!$X$7:$X$100000,"YES")</f>
        <v>0</v>
      </c>
      <c r="BD15" s="294">
        <f>COUNTIFS('Details-Products'!$C$7:$C$100000,$C15,'Details-Products'!$D$7:$D$100000,$B15,'Details-Products'!$BL$7:$BL$100000,BD$10)</f>
        <v>0</v>
      </c>
      <c r="BE15" s="292">
        <f>COUNTIFS('Details-Products'!$C$7:$C$100000,$C15,'Details-Products'!$D$7:$D$100000,$B15,'Details-Products'!$BL$7:$BL$100000,BE$10,'Details-Products'!$X$7:$X$100000,"YES")</f>
        <v>0</v>
      </c>
      <c r="BF15" s="358">
        <f>SUMIFS('Details-Products'!$Z$7:$Z$100000,'Details-Products'!$C$7:$C$100000,$C15,'Details-Products'!$D$7:$D$100000,$B15,'Details-Products'!$BL$7:$BL$100000,BF$10,'Details-Products'!$X$7:$X$100000,"YES")</f>
        <v>0</v>
      </c>
      <c r="BG15" s="292">
        <f t="shared" si="16"/>
        <v>0</v>
      </c>
      <c r="BH15" s="292">
        <f t="shared" si="17"/>
        <v>0</v>
      </c>
      <c r="BI15" s="358">
        <f t="shared" si="18"/>
        <v>0</v>
      </c>
      <c r="BJ15" s="238"/>
    </row>
    <row r="16" spans="1:62" ht="15.75" thickBot="1" x14ac:dyDescent="0.25">
      <c r="A16" s="59"/>
      <c r="B16" s="41">
        <v>10</v>
      </c>
      <c r="C16" s="41">
        <v>1</v>
      </c>
      <c r="D16" s="200" t="s">
        <v>139</v>
      </c>
      <c r="E16" s="295">
        <f>COUNTIFS('Details-Products'!$C$7:$C$100000,$C16,'Details-Products'!$D$7:$D$100000,$B16,'Details-Products'!$BL$7:$BL$100000,E$10)</f>
        <v>0</v>
      </c>
      <c r="F16" s="296">
        <f>COUNTIFS('Details-Products'!$C$7:$C$100000,$C16,'Details-Products'!$D$7:$D$100000,$B16,'Details-Products'!$BL$7:$BL$100000,F$10,'Details-Products'!$X$7:$X$100000,"YES")</f>
        <v>0</v>
      </c>
      <c r="G16" s="359">
        <f>SUMIFS('Details-Products'!$Z$7:$Z$100000,'Details-Products'!$C$7:$C$100000,$C16,'Details-Products'!$D$7:$D$100000,$B16,'Details-Products'!$BL$7:$BL$100000,G$10,'Details-Products'!$X$7:$X$100000,"YES")</f>
        <v>0</v>
      </c>
      <c r="H16" s="295">
        <f>COUNTIFS('Details-Products'!$C$7:$C$100000,$C16,'Details-Products'!$D$7:$D$100000,$B16,'Details-Products'!$BL$7:$BL$100000,H$10)</f>
        <v>0</v>
      </c>
      <c r="I16" s="296">
        <f>COUNTIFS('Details-Products'!$C$7:$C$100000,$C16,'Details-Products'!$D$7:$D$100000,$B16,'Details-Products'!$BL$7:$BL$100000,I$10,'Details-Products'!$X$7:$X$100000,"YES")</f>
        <v>0</v>
      </c>
      <c r="J16" s="359">
        <f>SUMIFS('Details-Products'!$Z$7:$Z$100000,'Details-Products'!$C$7:$C$100000,$C16,'Details-Products'!$D$7:$D$100000,$B16,'Details-Products'!$BL$7:$BL$100000,J$10,'Details-Products'!$X$7:$X$100000,"YES")</f>
        <v>0</v>
      </c>
      <c r="K16" s="295">
        <f>COUNTIFS('Details-Products'!$C$7:$C$100000,$C16,'Details-Products'!$D$7:$D$100000,$B16,'Details-Products'!$BL$7:$BL$100000,K$10)</f>
        <v>0</v>
      </c>
      <c r="L16" s="296">
        <f>COUNTIFS('Details-Products'!$C$7:$C$100000,$C16,'Details-Products'!$D$7:$D$100000,$B16,'Details-Products'!$BL$7:$BL$100000,L$10,'Details-Products'!$X$7:$X$100000,"YES")</f>
        <v>0</v>
      </c>
      <c r="M16" s="359">
        <f>SUMIFS('Details-Products'!$Z$7:$Z$100000,'Details-Products'!$C$7:$C$100000,$C16,'Details-Products'!$D$7:$D$100000,$B16,'Details-Products'!$BL$7:$BL$100000,M$10,'Details-Products'!$X$7:$X$100000,"YES")</f>
        <v>0</v>
      </c>
      <c r="N16" s="466">
        <f t="shared" si="1"/>
        <v>0</v>
      </c>
      <c r="O16" s="297">
        <f t="shared" si="2"/>
        <v>0</v>
      </c>
      <c r="P16" s="349">
        <f t="shared" si="3"/>
        <v>0</v>
      </c>
      <c r="Q16" s="349">
        <f>VLOOKUP(B16,Ttl_Inv!A:E,4,FALSE)</f>
        <v>0</v>
      </c>
      <c r="R16" s="327" t="e">
        <f t="shared" si="4"/>
        <v>#DIV/0!</v>
      </c>
      <c r="S16" s="359">
        <f>SUMIFS('Additional Color Sizes Report'!$R:$R,'Additional Color Sizes Report'!$B:$B,$B16)</f>
        <v>0</v>
      </c>
      <c r="T16" s="335" t="e">
        <f t="shared" si="5"/>
        <v>#DIV/0!</v>
      </c>
      <c r="U16" s="359">
        <f t="shared" si="6"/>
        <v>0</v>
      </c>
      <c r="V16" s="321" t="e">
        <f t="shared" si="7"/>
        <v>#DIV/0!</v>
      </c>
      <c r="W16" s="295">
        <f t="shared" si="8"/>
        <v>0</v>
      </c>
      <c r="X16" s="296">
        <f t="shared" si="9"/>
        <v>0</v>
      </c>
      <c r="Y16" s="359">
        <f t="shared" si="10"/>
        <v>0</v>
      </c>
      <c r="Z16" s="295">
        <f>COUNTIFS('Details-Products'!$C$7:$C$100000,$C16,'Details-Products'!$D$7:$D$100000,$B16,'Details-Products'!$BL$7:$BL$100000,Z$10)</f>
        <v>0</v>
      </c>
      <c r="AA16" s="295">
        <f>COUNTIFS('Details-Products'!$C$7:$C$100000,$C16,'Details-Products'!$D$7:$D$100000,$B16,'Details-Products'!$BL$7:$BL$100000,AA$10,'Details-Products'!$X$7:$X$100000,"YES")</f>
        <v>0</v>
      </c>
      <c r="AB16" s="359">
        <f>SUMIFS('Details-Products'!$Z$7:$Z$100000,'Details-Products'!$C$7:$C$100000,$C16,'Details-Products'!$D$7:$D$100000,$B16,'Details-Products'!$BL$7:$BL$100000,AB$10,'Details-Products'!$X$7:$X$100000,"YES")</f>
        <v>0</v>
      </c>
      <c r="AC16" s="295">
        <f>COUNTIFS('Details-Products'!$C$7:$C$100000,$C16,'Details-Products'!$D$7:$D$100000,$B16,'Details-Products'!$BL$7:$BL$100000,AC$10)</f>
        <v>0</v>
      </c>
      <c r="AD16" s="296">
        <f>COUNTIFS('Details-Products'!$C$7:$C$100000,$C16,'Details-Products'!$D$7:$D$100000,$B16,'Details-Products'!$BL$7:$BL$100000,AD$10,'Details-Products'!$X$7:$X$100000,"YES")</f>
        <v>0</v>
      </c>
      <c r="AE16" s="359">
        <f>SUMIFS('Details-Products'!$Z$7:$Z$100000,'Details-Products'!$C$7:$C$100000,$C16,'Details-Products'!$D$7:$D$100000,$B16,'Details-Products'!$BL$7:$BL$100000,AE$10,'Details-Products'!$X$7:$X$100000,"YES")</f>
        <v>0</v>
      </c>
      <c r="AF16" s="295">
        <f>COUNTIFS('Details-Products'!$C$7:$C$100000,$C16,'Details-Products'!$D$7:$D$100000,$B16,'Details-Products'!$BL$7:$BL$100000,AF$10)</f>
        <v>0</v>
      </c>
      <c r="AG16" s="296">
        <f>COUNTIFS('Details-Products'!$C$7:$C$100000,$C16,'Details-Products'!$D$7:$D$100000,$B16,'Details-Products'!$BL$7:$BL$100000,AG$10,'Details-Products'!$X$7:$X$100000,"YES")</f>
        <v>0</v>
      </c>
      <c r="AH16" s="359">
        <f>SUMIFS('Details-Products'!$Z$7:$Z$100000,'Details-Products'!$C$7:$C$100000,$C16,'Details-Products'!$D$7:$D$100000,$B16,'Details-Products'!$BL$7:$BL$100000,AH$10,'Details-Products'!$X$7:$X$100000,"YES")</f>
        <v>0</v>
      </c>
      <c r="AI16" s="295">
        <f>COUNTIFS('Details-Products'!$C$7:$C$100000,$C16,'Details-Products'!$D$7:$D$100000,$B16,'Details-Products'!$BL$7:$BL$100000,AI$10)</f>
        <v>0</v>
      </c>
      <c r="AJ16" s="296">
        <f>COUNTIFS('Details-Products'!$C$7:$C$100000,$C16,'Details-Products'!$D$7:$D$100000,$B16,'Details-Products'!$BL$7:$BL$100000,AJ$10,'Details-Products'!$X$7:$X$100000,"YES")</f>
        <v>0</v>
      </c>
      <c r="AK16" s="359">
        <f>SUMIFS('Details-Products'!$Z$7:$Z$100000,'Details-Products'!$C$7:$C$100000,$C16,'Details-Products'!$D$7:$D$100000,$B16,'Details-Products'!$BL$7:$BL$100000,AK$10,'Details-Products'!$X$7:$X$100000,"YES")</f>
        <v>0</v>
      </c>
      <c r="AL16" s="295">
        <f t="shared" si="12"/>
        <v>0</v>
      </c>
      <c r="AM16" s="296">
        <f t="shared" si="13"/>
        <v>0</v>
      </c>
      <c r="AN16" s="359">
        <f t="shared" si="14"/>
        <v>0</v>
      </c>
      <c r="AO16" s="296">
        <f>COUNTIFS('Details-Products'!$C$7:$C$100000,$C16,'Details-Products'!$D$7:$D$100000,$B16,'Details-Products'!$BL$7:$BL$100000,AO$10)</f>
        <v>0</v>
      </c>
      <c r="AP16" s="296">
        <f>COUNTIFS('Details-Products'!$C$7:$C$100000,$C16,'Details-Products'!$D$7:$D$100000,$B16,'Details-Products'!$BL$7:$BL$100000,AP$10,'Details-Products'!$X$7:$X$100000,"YES")</f>
        <v>0</v>
      </c>
      <c r="AQ16" s="359">
        <f>SUMIFS('Details-Products'!$Z$7:$Z$100000,'Details-Products'!$C$7:$C$100000,$C16,'Details-Products'!$D$7:$D$100000,$B16,'Details-Products'!$BL$7:$BL$100000,AQ$10,'Details-Products'!$X$7:$X$100000,"YES")</f>
        <v>0</v>
      </c>
      <c r="AR16" s="296">
        <f>COUNTIFS('Details-Products'!$C$7:$C$100000,$C16,'Details-Products'!$D$7:$D$100000,$B16,'Details-Products'!$BL$7:$BL$100000,AR$10)</f>
        <v>0</v>
      </c>
      <c r="AS16" s="296">
        <f>COUNTIFS('Details-Products'!$C$7:$C$100000,$C16,'Details-Products'!$D$7:$D$100000,$B16,'Details-Products'!$BL$7:$BL$100000,AS$10,'Details-Products'!$X$7:$X$100000,"YES")</f>
        <v>0</v>
      </c>
      <c r="AT16" s="359">
        <f>SUMIFS('Details-Products'!$Z$7:$Z$100000,'Details-Products'!$C$7:$C$100000,$C16,'Details-Products'!$D$7:$D$100000,$B16,'Details-Products'!$BL$7:$BL$100000,AT$10,'Details-Products'!$X$7:$X$100000,"YES")</f>
        <v>0</v>
      </c>
      <c r="AU16" s="296">
        <f>COUNTIFS('Details-Products'!$C$7:$C$100000,$C16,'Details-Products'!$D$7:$D$100000,$B16,'Details-Products'!$BL$7:$BL$100000,AU$10)</f>
        <v>0</v>
      </c>
      <c r="AV16" s="296">
        <f>COUNTIFS('Details-Products'!$C$7:$C$100000,$C16,'Details-Products'!$D$7:$D$100000,$B16,'Details-Products'!$BL$7:$BL$100000,AV$10,'Details-Products'!$X$7:$X$100000,"YES")</f>
        <v>0</v>
      </c>
      <c r="AW16" s="359">
        <f>SUMIFS('Details-Products'!$Z$7:$Z$100000,'Details-Products'!$C$7:$C$100000,$C16,'Details-Products'!$D$7:$D$100000,$B16,'Details-Products'!$BL$7:$BL$100000,AW$10,'Details-Products'!$X$7:$X$100000,"YES")</f>
        <v>0</v>
      </c>
      <c r="AX16" s="295">
        <f>COUNTIFS('Details-Products'!$C$7:$C$100000,$C16,'Details-Products'!$D$7:$D$100000,$B16,'Details-Products'!$BL$7:$BL$100000,AX$10)</f>
        <v>0</v>
      </c>
      <c r="AY16" s="296">
        <f>COUNTIFS('Details-Products'!$C$7:$C$100000,$C16,'Details-Products'!$D$7:$D$100000,$B16,'Details-Products'!$BL$7:$BL$100000,AY$10,'Details-Products'!$X$7:$X$100000,"YES")</f>
        <v>0</v>
      </c>
      <c r="AZ16" s="359">
        <f>SUMIFS('Details-Products'!$Z$7:$Z$100000,'Details-Products'!$C$7:$C$100000,$C16,'Details-Products'!$D$7:$D$100000,$B16,'Details-Products'!$BL$7:$BL$100000,AZ$10,'Details-Products'!$X$7:$X$100000,"YES")</f>
        <v>0</v>
      </c>
      <c r="BA16" s="295">
        <f>COUNTIFS('Details-Products'!$C$7:$C$100000,$C16,'Details-Products'!$D$7:$D$100000,$B16,'Details-Products'!$BL$7:$BL$100000,BA$10)</f>
        <v>0</v>
      </c>
      <c r="BB16" s="296">
        <f>COUNTIFS('Details-Products'!$C$7:$C$100000,$C16,'Details-Products'!$D$7:$D$100000,$B16,'Details-Products'!$BL$7:$BL$100000,BB$10,'Details-Products'!$X$7:$X$100000,"YES")</f>
        <v>0</v>
      </c>
      <c r="BC16" s="359">
        <f>SUMIFS('Details-Products'!$Z$7:$Z$100000,'Details-Products'!$C$7:$C$100000,$C16,'Details-Products'!$D$7:$D$100000,$B16,'Details-Products'!$BL$7:$BL$100000,BC$10,'Details-Products'!$X$7:$X$100000,"YES")</f>
        <v>0</v>
      </c>
      <c r="BD16" s="298">
        <f>COUNTIFS('Details-Products'!$C$7:$C$100000,$C16,'Details-Products'!$D$7:$D$100000,$B16,'Details-Products'!$BL$7:$BL$100000,BD$10)</f>
        <v>0</v>
      </c>
      <c r="BE16" s="296">
        <f>COUNTIFS('Details-Products'!$C$7:$C$100000,$C16,'Details-Products'!$D$7:$D$100000,$B16,'Details-Products'!$BL$7:$BL$100000,BE$10,'Details-Products'!$X$7:$X$100000,"YES")</f>
        <v>0</v>
      </c>
      <c r="BF16" s="359">
        <f>SUMIFS('Details-Products'!$Z$7:$Z$100000,'Details-Products'!$C$7:$C$100000,$C16,'Details-Products'!$D$7:$D$100000,$B16,'Details-Products'!$BL$7:$BL$100000,BF$10,'Details-Products'!$X$7:$X$100000,"YES")</f>
        <v>0</v>
      </c>
      <c r="BG16" s="296">
        <f t="shared" si="16"/>
        <v>0</v>
      </c>
      <c r="BH16" s="296">
        <f t="shared" si="17"/>
        <v>0</v>
      </c>
      <c r="BI16" s="359">
        <f t="shared" si="18"/>
        <v>0</v>
      </c>
      <c r="BJ16" s="240"/>
    </row>
    <row r="17" spans="1:62" ht="15.75" thickBot="1" x14ac:dyDescent="0.25">
      <c r="A17" s="59"/>
      <c r="B17" s="41">
        <v>16</v>
      </c>
      <c r="C17" s="41">
        <v>1</v>
      </c>
      <c r="D17" s="199" t="s">
        <v>140</v>
      </c>
      <c r="E17" s="291">
        <f>COUNTIFS('Details-Products'!$C$7:$C$100000,$C17,'Details-Products'!$D$7:$D$100000,$B17,'Details-Products'!$BL$7:$BL$100000,E$10)</f>
        <v>0</v>
      </c>
      <c r="F17" s="292">
        <f>COUNTIFS('Details-Products'!$C$7:$C$100000,$C17,'Details-Products'!$D$7:$D$100000,$B17,'Details-Products'!$BL$7:$BL$100000,F$10,'Details-Products'!$X$7:$X$100000,"YES")</f>
        <v>0</v>
      </c>
      <c r="G17" s="360">
        <f>SUMIFS('Details-Products'!$Z$7:$Z$100000,'Details-Products'!$C$7:$C$100000,$C17,'Details-Products'!$D$7:$D$100000,$B17,'Details-Products'!$BL$7:$BL$100000,G$10,'Details-Products'!$X$7:$X$100000,"YES")</f>
        <v>0</v>
      </c>
      <c r="H17" s="291">
        <f>COUNTIFS('Details-Products'!$C$7:$C$100000,$C17,'Details-Products'!$D$7:$D$100000,$B17,'Details-Products'!$BL$7:$BL$100000,H$10)</f>
        <v>0</v>
      </c>
      <c r="I17" s="292">
        <f>COUNTIFS('Details-Products'!$C$7:$C$100000,$C17,'Details-Products'!$D$7:$D$100000,$B17,'Details-Products'!$BL$7:$BL$100000,I$10,'Details-Products'!$X$7:$X$100000,"YES")</f>
        <v>0</v>
      </c>
      <c r="J17" s="360">
        <f>SUMIFS('Details-Products'!$Z$7:$Z$100000,'Details-Products'!$C$7:$C$100000,$C17,'Details-Products'!$D$7:$D$100000,$B17,'Details-Products'!$BL$7:$BL$100000,J$10,'Details-Products'!$X$7:$X$100000,"YES")</f>
        <v>0</v>
      </c>
      <c r="K17" s="291">
        <f>COUNTIFS('Details-Products'!$C$7:$C$100000,$C17,'Details-Products'!$D$7:$D$100000,$B17,'Details-Products'!$BL$7:$BL$100000,K$10)</f>
        <v>0</v>
      </c>
      <c r="L17" s="292">
        <f>COUNTIFS('Details-Products'!$C$7:$C$100000,$C17,'Details-Products'!$D$7:$D$100000,$B17,'Details-Products'!$BL$7:$BL$100000,L$10,'Details-Products'!$X$7:$X$100000,"YES")</f>
        <v>0</v>
      </c>
      <c r="M17" s="360">
        <f>SUMIFS('Details-Products'!$Z$7:$Z$100000,'Details-Products'!$C$7:$C$100000,$C17,'Details-Products'!$D$7:$D$100000,$B17,'Details-Products'!$BL$7:$BL$100000,M$10,'Details-Products'!$X$7:$X$100000,"YES")</f>
        <v>0</v>
      </c>
      <c r="N17" s="467">
        <f t="shared" si="1"/>
        <v>0</v>
      </c>
      <c r="O17" s="299">
        <f t="shared" si="2"/>
        <v>0</v>
      </c>
      <c r="P17" s="350">
        <f t="shared" si="3"/>
        <v>0</v>
      </c>
      <c r="Q17" s="350">
        <f>VLOOKUP(B17,Ttl_Inv!A:E,4,FALSE)</f>
        <v>0</v>
      </c>
      <c r="R17" s="328" t="e">
        <f t="shared" si="4"/>
        <v>#DIV/0!</v>
      </c>
      <c r="S17" s="360">
        <f>SUMIFS('Additional Color Sizes Report'!$R:$R,'Additional Color Sizes Report'!$B:$B,$B17)</f>
        <v>0</v>
      </c>
      <c r="T17" s="336" t="e">
        <f t="shared" si="5"/>
        <v>#DIV/0!</v>
      </c>
      <c r="U17" s="360">
        <f t="shared" si="6"/>
        <v>0</v>
      </c>
      <c r="V17" s="322" t="e">
        <f t="shared" si="7"/>
        <v>#DIV/0!</v>
      </c>
      <c r="W17" s="291">
        <f t="shared" si="8"/>
        <v>0</v>
      </c>
      <c r="X17" s="292">
        <f t="shared" si="9"/>
        <v>0</v>
      </c>
      <c r="Y17" s="360">
        <f t="shared" si="10"/>
        <v>0</v>
      </c>
      <c r="Z17" s="291">
        <f>COUNTIFS('Details-Products'!$C$7:$C$100000,$C17,'Details-Products'!$D$7:$D$100000,$B17,'Details-Products'!$BL$7:$BL$100000,Z$10)</f>
        <v>0</v>
      </c>
      <c r="AA17" s="291">
        <f>COUNTIFS('Details-Products'!$C$7:$C$100000,$C17,'Details-Products'!$D$7:$D$100000,$B17,'Details-Products'!$BL$7:$BL$100000,AA$10,'Details-Products'!$X$7:$X$100000,"YES")</f>
        <v>0</v>
      </c>
      <c r="AB17" s="360">
        <f>SUMIFS('Details-Products'!$Z$7:$Z$100000,'Details-Products'!$C$7:$C$100000,$C17,'Details-Products'!$D$7:$D$100000,$B17,'Details-Products'!$BL$7:$BL$100000,AB$10,'Details-Products'!$X$7:$X$100000,"YES")</f>
        <v>0</v>
      </c>
      <c r="AC17" s="291">
        <f>COUNTIFS('Details-Products'!$C$7:$C$100000,$C17,'Details-Products'!$D$7:$D$100000,$B17,'Details-Products'!$BL$7:$BL$100000,AC$10)</f>
        <v>0</v>
      </c>
      <c r="AD17" s="292">
        <f>COUNTIFS('Details-Products'!$C$7:$C$100000,$C17,'Details-Products'!$D$7:$D$100000,$B17,'Details-Products'!$BL$7:$BL$100000,AD$10,'Details-Products'!$X$7:$X$100000,"YES")</f>
        <v>0</v>
      </c>
      <c r="AE17" s="360">
        <f>SUMIFS('Details-Products'!$Z$7:$Z$100000,'Details-Products'!$C$7:$C$100000,$C17,'Details-Products'!$D$7:$D$100000,$B17,'Details-Products'!$BL$7:$BL$100000,AE$10,'Details-Products'!$X$7:$X$100000,"YES")</f>
        <v>0</v>
      </c>
      <c r="AF17" s="291">
        <f>COUNTIFS('Details-Products'!$C$7:$C$100000,$C17,'Details-Products'!$D$7:$D$100000,$B17,'Details-Products'!$BL$7:$BL$100000,AF$10)</f>
        <v>0</v>
      </c>
      <c r="AG17" s="292">
        <f>COUNTIFS('Details-Products'!$C$7:$C$100000,$C17,'Details-Products'!$D$7:$D$100000,$B17,'Details-Products'!$BL$7:$BL$100000,AG$10,'Details-Products'!$X$7:$X$100000,"YES")</f>
        <v>0</v>
      </c>
      <c r="AH17" s="360">
        <f>SUMIFS('Details-Products'!$Z$7:$Z$100000,'Details-Products'!$C$7:$C$100000,$C17,'Details-Products'!$D$7:$D$100000,$B17,'Details-Products'!$BL$7:$BL$100000,AH$10,'Details-Products'!$X$7:$X$100000,"YES")</f>
        <v>0</v>
      </c>
      <c r="AI17" s="291">
        <f>COUNTIFS('Details-Products'!$C$7:$C$100000,$C17,'Details-Products'!$D$7:$D$100000,$B17,'Details-Products'!$BL$7:$BL$100000,AI$10)</f>
        <v>0</v>
      </c>
      <c r="AJ17" s="292">
        <f>COUNTIFS('Details-Products'!$C$7:$C$100000,$C17,'Details-Products'!$D$7:$D$100000,$B17,'Details-Products'!$BL$7:$BL$100000,AJ$10,'Details-Products'!$X$7:$X$100000,"YES")</f>
        <v>0</v>
      </c>
      <c r="AK17" s="360">
        <f>SUMIFS('Details-Products'!$Z$7:$Z$100000,'Details-Products'!$C$7:$C$100000,$C17,'Details-Products'!$D$7:$D$100000,$B17,'Details-Products'!$BL$7:$BL$100000,AK$10,'Details-Products'!$X$7:$X$100000,"YES")</f>
        <v>0</v>
      </c>
      <c r="AL17" s="291">
        <f t="shared" si="12"/>
        <v>0</v>
      </c>
      <c r="AM17" s="292">
        <f t="shared" si="13"/>
        <v>0</v>
      </c>
      <c r="AN17" s="360">
        <f t="shared" si="14"/>
        <v>0</v>
      </c>
      <c r="AO17" s="292">
        <f>COUNTIFS('Details-Products'!$C$7:$C$100000,$C17,'Details-Products'!$D$7:$D$100000,$B17,'Details-Products'!$BL$7:$BL$100000,AO$10)</f>
        <v>0</v>
      </c>
      <c r="AP17" s="292">
        <f>COUNTIFS('Details-Products'!$C$7:$C$100000,$C17,'Details-Products'!$D$7:$D$100000,$B17,'Details-Products'!$BL$7:$BL$100000,AP$10,'Details-Products'!$X$7:$X$100000,"YES")</f>
        <v>0</v>
      </c>
      <c r="AQ17" s="360">
        <f>SUMIFS('Details-Products'!$Z$7:$Z$100000,'Details-Products'!$C$7:$C$100000,$C17,'Details-Products'!$D$7:$D$100000,$B17,'Details-Products'!$BL$7:$BL$100000,AQ$10,'Details-Products'!$X$7:$X$100000,"YES")</f>
        <v>0</v>
      </c>
      <c r="AR17" s="292">
        <f>COUNTIFS('Details-Products'!$C$7:$C$100000,$C17,'Details-Products'!$D$7:$D$100000,$B17,'Details-Products'!$BL$7:$BL$100000,AR$10)</f>
        <v>0</v>
      </c>
      <c r="AS17" s="292">
        <f>COUNTIFS('Details-Products'!$C$7:$C$100000,$C17,'Details-Products'!$D$7:$D$100000,$B17,'Details-Products'!$BL$7:$BL$100000,AS$10,'Details-Products'!$X$7:$X$100000,"YES")</f>
        <v>0</v>
      </c>
      <c r="AT17" s="360">
        <f>SUMIFS('Details-Products'!$Z$7:$Z$100000,'Details-Products'!$C$7:$C$100000,$C17,'Details-Products'!$D$7:$D$100000,$B17,'Details-Products'!$BL$7:$BL$100000,AT$10,'Details-Products'!$X$7:$X$100000,"YES")</f>
        <v>0</v>
      </c>
      <c r="AU17" s="292">
        <f>COUNTIFS('Details-Products'!$C$7:$C$100000,$C17,'Details-Products'!$D$7:$D$100000,$B17,'Details-Products'!$BL$7:$BL$100000,AU$10)</f>
        <v>0</v>
      </c>
      <c r="AV17" s="292">
        <f>COUNTIFS('Details-Products'!$C$7:$C$100000,$C17,'Details-Products'!$D$7:$D$100000,$B17,'Details-Products'!$BL$7:$BL$100000,AV$10,'Details-Products'!$X$7:$X$100000,"YES")</f>
        <v>0</v>
      </c>
      <c r="AW17" s="360">
        <f>SUMIFS('Details-Products'!$Z$7:$Z$100000,'Details-Products'!$C$7:$C$100000,$C17,'Details-Products'!$D$7:$D$100000,$B17,'Details-Products'!$BL$7:$BL$100000,AW$10,'Details-Products'!$X$7:$X$100000,"YES")</f>
        <v>0</v>
      </c>
      <c r="AX17" s="291">
        <f>COUNTIFS('Details-Products'!$C$7:$C$100000,$C17,'Details-Products'!$D$7:$D$100000,$B17,'Details-Products'!$BL$7:$BL$100000,AX$10)</f>
        <v>0</v>
      </c>
      <c r="AY17" s="292">
        <f>COUNTIFS('Details-Products'!$C$7:$C$100000,$C17,'Details-Products'!$D$7:$D$100000,$B17,'Details-Products'!$BL$7:$BL$100000,AY$10,'Details-Products'!$X$7:$X$100000,"YES")</f>
        <v>0</v>
      </c>
      <c r="AZ17" s="360">
        <f>SUMIFS('Details-Products'!$Z$7:$Z$100000,'Details-Products'!$C$7:$C$100000,$C17,'Details-Products'!$D$7:$D$100000,$B17,'Details-Products'!$BL$7:$BL$100000,AZ$10,'Details-Products'!$X$7:$X$100000,"YES")</f>
        <v>0</v>
      </c>
      <c r="BA17" s="291">
        <f>COUNTIFS('Details-Products'!$C$7:$C$100000,$C17,'Details-Products'!$D$7:$D$100000,$B17,'Details-Products'!$BL$7:$BL$100000,BA$10)</f>
        <v>0</v>
      </c>
      <c r="BB17" s="292">
        <f>COUNTIFS('Details-Products'!$C$7:$C$100000,$C17,'Details-Products'!$D$7:$D$100000,$B17,'Details-Products'!$BL$7:$BL$100000,BB$10,'Details-Products'!$X$7:$X$100000,"YES")</f>
        <v>0</v>
      </c>
      <c r="BC17" s="360">
        <f>SUMIFS('Details-Products'!$Z$7:$Z$100000,'Details-Products'!$C$7:$C$100000,$C17,'Details-Products'!$D$7:$D$100000,$B17,'Details-Products'!$BL$7:$BL$100000,BC$10,'Details-Products'!$X$7:$X$100000,"YES")</f>
        <v>0</v>
      </c>
      <c r="BD17" s="294">
        <f>COUNTIFS('Details-Products'!$C$7:$C$100000,$C17,'Details-Products'!$D$7:$D$100000,$B17,'Details-Products'!$BL$7:$BL$100000,BD$10)</f>
        <v>0</v>
      </c>
      <c r="BE17" s="292">
        <f>COUNTIFS('Details-Products'!$C$7:$C$100000,$C17,'Details-Products'!$D$7:$D$100000,$B17,'Details-Products'!$BL$7:$BL$100000,BE$10,'Details-Products'!$X$7:$X$100000,"YES")</f>
        <v>0</v>
      </c>
      <c r="BF17" s="360">
        <f>SUMIFS('Details-Products'!$Z$7:$Z$100000,'Details-Products'!$C$7:$C$100000,$C17,'Details-Products'!$D$7:$D$100000,$B17,'Details-Products'!$BL$7:$BL$100000,BF$10,'Details-Products'!$X$7:$X$100000,"YES")</f>
        <v>0</v>
      </c>
      <c r="BG17" s="292">
        <f t="shared" si="16"/>
        <v>0</v>
      </c>
      <c r="BH17" s="292">
        <f t="shared" si="17"/>
        <v>0</v>
      </c>
      <c r="BI17" s="360">
        <f t="shared" si="18"/>
        <v>0</v>
      </c>
      <c r="BJ17" s="240"/>
    </row>
    <row r="18" spans="1:62" ht="15.75" thickBot="1" x14ac:dyDescent="0.25">
      <c r="A18" s="59"/>
      <c r="B18" s="41">
        <v>22</v>
      </c>
      <c r="C18" s="41">
        <v>1</v>
      </c>
      <c r="D18" s="200" t="s">
        <v>141</v>
      </c>
      <c r="E18" s="295">
        <f>COUNTIFS('Details-Products'!$C$7:$C$100000,$C18,'Details-Products'!$D$7:$D$100000,$B18,'Details-Products'!$BL$7:$BL$100000,E$10)</f>
        <v>0</v>
      </c>
      <c r="F18" s="296">
        <f>COUNTIFS('Details-Products'!$C$7:$C$100000,$C18,'Details-Products'!$D$7:$D$100000,$B18,'Details-Products'!$BL$7:$BL$100000,F$10,'Details-Products'!$X$7:$X$100000,"YES")</f>
        <v>0</v>
      </c>
      <c r="G18" s="359">
        <f>SUMIFS('Details-Products'!$Z$7:$Z$100000,'Details-Products'!$C$7:$C$100000,$C18,'Details-Products'!$D$7:$D$100000,$B18,'Details-Products'!$BL$7:$BL$100000,G$10,'Details-Products'!$X$7:$X$100000,"YES")</f>
        <v>0</v>
      </c>
      <c r="H18" s="295">
        <f>COUNTIFS('Details-Products'!$C$7:$C$100000,$C18,'Details-Products'!$D$7:$D$100000,$B18,'Details-Products'!$BL$7:$BL$100000,H$10)</f>
        <v>0</v>
      </c>
      <c r="I18" s="296">
        <f>COUNTIFS('Details-Products'!$C$7:$C$100000,$C18,'Details-Products'!$D$7:$D$100000,$B18,'Details-Products'!$BL$7:$BL$100000,I$10,'Details-Products'!$X$7:$X$100000,"YES")</f>
        <v>0</v>
      </c>
      <c r="J18" s="359">
        <f>SUMIFS('Details-Products'!$Z$7:$Z$100000,'Details-Products'!$C$7:$C$100000,$C18,'Details-Products'!$D$7:$D$100000,$B18,'Details-Products'!$BL$7:$BL$100000,J$10,'Details-Products'!$X$7:$X$100000,"YES")</f>
        <v>0</v>
      </c>
      <c r="K18" s="295">
        <f>COUNTIFS('Details-Products'!$C$7:$C$100000,$C18,'Details-Products'!$D$7:$D$100000,$B18,'Details-Products'!$BL$7:$BL$100000,K$10)</f>
        <v>0</v>
      </c>
      <c r="L18" s="296">
        <f>COUNTIFS('Details-Products'!$C$7:$C$100000,$C18,'Details-Products'!$D$7:$D$100000,$B18,'Details-Products'!$BL$7:$BL$100000,L$10,'Details-Products'!$X$7:$X$100000,"YES")</f>
        <v>0</v>
      </c>
      <c r="M18" s="359">
        <f>SUMIFS('Details-Products'!$Z$7:$Z$100000,'Details-Products'!$C$7:$C$100000,$C18,'Details-Products'!$D$7:$D$100000,$B18,'Details-Products'!$BL$7:$BL$100000,M$10,'Details-Products'!$X$7:$X$100000,"YES")</f>
        <v>0</v>
      </c>
      <c r="N18" s="466">
        <f t="shared" si="1"/>
        <v>0</v>
      </c>
      <c r="O18" s="297">
        <f t="shared" si="2"/>
        <v>0</v>
      </c>
      <c r="P18" s="349">
        <f t="shared" si="3"/>
        <v>0</v>
      </c>
      <c r="Q18" s="349">
        <f>VLOOKUP(B18,Ttl_Inv!A:E,4,FALSE)</f>
        <v>0</v>
      </c>
      <c r="R18" s="327" t="e">
        <f t="shared" si="4"/>
        <v>#DIV/0!</v>
      </c>
      <c r="S18" s="359">
        <f>SUMIFS('Additional Color Sizes Report'!$R:$R,'Additional Color Sizes Report'!$B:$B,$B18)</f>
        <v>0</v>
      </c>
      <c r="T18" s="335" t="e">
        <f t="shared" si="5"/>
        <v>#DIV/0!</v>
      </c>
      <c r="U18" s="359">
        <f t="shared" si="6"/>
        <v>0</v>
      </c>
      <c r="V18" s="321" t="e">
        <f t="shared" si="7"/>
        <v>#DIV/0!</v>
      </c>
      <c r="W18" s="295">
        <f t="shared" si="8"/>
        <v>0</v>
      </c>
      <c r="X18" s="296">
        <f t="shared" si="9"/>
        <v>0</v>
      </c>
      <c r="Y18" s="359">
        <f t="shared" si="10"/>
        <v>0</v>
      </c>
      <c r="Z18" s="295">
        <f>COUNTIFS('Details-Products'!$C$7:$C$100000,$C18,'Details-Products'!$D$7:$D$100000,$B18,'Details-Products'!$BL$7:$BL$100000,Z$10)</f>
        <v>0</v>
      </c>
      <c r="AA18" s="295">
        <f>COUNTIFS('Details-Products'!$C$7:$C$100000,$C18,'Details-Products'!$D$7:$D$100000,$B18,'Details-Products'!$BL$7:$BL$100000,AA$10,'Details-Products'!$X$7:$X$100000,"YES")</f>
        <v>0</v>
      </c>
      <c r="AB18" s="359">
        <f>SUMIFS('Details-Products'!$Z$7:$Z$100000,'Details-Products'!$C$7:$C$100000,$C18,'Details-Products'!$D$7:$D$100000,$B18,'Details-Products'!$BL$7:$BL$100000,AB$10,'Details-Products'!$X$7:$X$100000,"YES")</f>
        <v>0</v>
      </c>
      <c r="AC18" s="295">
        <f>COUNTIFS('Details-Products'!$C$7:$C$100000,$C18,'Details-Products'!$D$7:$D$100000,$B18,'Details-Products'!$BL$7:$BL$100000,AC$10)</f>
        <v>0</v>
      </c>
      <c r="AD18" s="296">
        <f>COUNTIFS('Details-Products'!$C$7:$C$100000,$C18,'Details-Products'!$D$7:$D$100000,$B18,'Details-Products'!$BL$7:$BL$100000,AD$10,'Details-Products'!$X$7:$X$100000,"YES")</f>
        <v>0</v>
      </c>
      <c r="AE18" s="359">
        <f>SUMIFS('Details-Products'!$Z$7:$Z$100000,'Details-Products'!$C$7:$C$100000,$C18,'Details-Products'!$D$7:$D$100000,$B18,'Details-Products'!$BL$7:$BL$100000,AE$10,'Details-Products'!$X$7:$X$100000,"YES")</f>
        <v>0</v>
      </c>
      <c r="AF18" s="295">
        <f>COUNTIFS('Details-Products'!$C$7:$C$100000,$C18,'Details-Products'!$D$7:$D$100000,$B18,'Details-Products'!$BL$7:$BL$100000,AF$10)</f>
        <v>0</v>
      </c>
      <c r="AG18" s="296">
        <f>COUNTIFS('Details-Products'!$C$7:$C$100000,$C18,'Details-Products'!$D$7:$D$100000,$B18,'Details-Products'!$BL$7:$BL$100000,AG$10,'Details-Products'!$X$7:$X$100000,"YES")</f>
        <v>0</v>
      </c>
      <c r="AH18" s="359">
        <f>SUMIFS('Details-Products'!$Z$7:$Z$100000,'Details-Products'!$C$7:$C$100000,$C18,'Details-Products'!$D$7:$D$100000,$B18,'Details-Products'!$BL$7:$BL$100000,AH$10,'Details-Products'!$X$7:$X$100000,"YES")</f>
        <v>0</v>
      </c>
      <c r="AI18" s="295">
        <f>COUNTIFS('Details-Products'!$C$7:$C$100000,$C18,'Details-Products'!$D$7:$D$100000,$B18,'Details-Products'!$BL$7:$BL$100000,AI$10)</f>
        <v>0</v>
      </c>
      <c r="AJ18" s="296">
        <f>COUNTIFS('Details-Products'!$C$7:$C$100000,$C18,'Details-Products'!$D$7:$D$100000,$B18,'Details-Products'!$BL$7:$BL$100000,AJ$10,'Details-Products'!$X$7:$X$100000,"YES")</f>
        <v>0</v>
      </c>
      <c r="AK18" s="359">
        <f>SUMIFS('Details-Products'!$Z$7:$Z$100000,'Details-Products'!$C$7:$C$100000,$C18,'Details-Products'!$D$7:$D$100000,$B18,'Details-Products'!$BL$7:$BL$100000,AK$10,'Details-Products'!$X$7:$X$100000,"YES")</f>
        <v>0</v>
      </c>
      <c r="AL18" s="295">
        <f t="shared" si="12"/>
        <v>0</v>
      </c>
      <c r="AM18" s="296">
        <f t="shared" si="13"/>
        <v>0</v>
      </c>
      <c r="AN18" s="359">
        <f t="shared" si="14"/>
        <v>0</v>
      </c>
      <c r="AO18" s="296">
        <f>COUNTIFS('Details-Products'!$C$7:$C$100000,$C18,'Details-Products'!$D$7:$D$100000,$B18,'Details-Products'!$BL$7:$BL$100000,AO$10)</f>
        <v>0</v>
      </c>
      <c r="AP18" s="296">
        <f>COUNTIFS('Details-Products'!$C$7:$C$100000,$C18,'Details-Products'!$D$7:$D$100000,$B18,'Details-Products'!$BL$7:$BL$100000,AP$10,'Details-Products'!$X$7:$X$100000,"YES")</f>
        <v>0</v>
      </c>
      <c r="AQ18" s="359">
        <f>SUMIFS('Details-Products'!$Z$7:$Z$100000,'Details-Products'!$C$7:$C$100000,$C18,'Details-Products'!$D$7:$D$100000,$B18,'Details-Products'!$BL$7:$BL$100000,AQ$10,'Details-Products'!$X$7:$X$100000,"YES")</f>
        <v>0</v>
      </c>
      <c r="AR18" s="296">
        <f>COUNTIFS('Details-Products'!$C$7:$C$100000,$C18,'Details-Products'!$D$7:$D$100000,$B18,'Details-Products'!$BL$7:$BL$100000,AR$10)</f>
        <v>0</v>
      </c>
      <c r="AS18" s="296">
        <f>COUNTIFS('Details-Products'!$C$7:$C$100000,$C18,'Details-Products'!$D$7:$D$100000,$B18,'Details-Products'!$BL$7:$BL$100000,AS$10,'Details-Products'!$X$7:$X$100000,"YES")</f>
        <v>0</v>
      </c>
      <c r="AT18" s="359">
        <f>SUMIFS('Details-Products'!$Z$7:$Z$100000,'Details-Products'!$C$7:$C$100000,$C18,'Details-Products'!$D$7:$D$100000,$B18,'Details-Products'!$BL$7:$BL$100000,AT$10,'Details-Products'!$X$7:$X$100000,"YES")</f>
        <v>0</v>
      </c>
      <c r="AU18" s="296">
        <f>COUNTIFS('Details-Products'!$C$7:$C$100000,$C18,'Details-Products'!$D$7:$D$100000,$B18,'Details-Products'!$BL$7:$BL$100000,AU$10)</f>
        <v>0</v>
      </c>
      <c r="AV18" s="296">
        <f>COUNTIFS('Details-Products'!$C$7:$C$100000,$C18,'Details-Products'!$D$7:$D$100000,$B18,'Details-Products'!$BL$7:$BL$100000,AV$10,'Details-Products'!$X$7:$X$100000,"YES")</f>
        <v>0</v>
      </c>
      <c r="AW18" s="359">
        <f>SUMIFS('Details-Products'!$Z$7:$Z$100000,'Details-Products'!$C$7:$C$100000,$C18,'Details-Products'!$D$7:$D$100000,$B18,'Details-Products'!$BL$7:$BL$100000,AW$10,'Details-Products'!$X$7:$X$100000,"YES")</f>
        <v>0</v>
      </c>
      <c r="AX18" s="295">
        <f>COUNTIFS('Details-Products'!$C$7:$C$100000,$C18,'Details-Products'!$D$7:$D$100000,$B18,'Details-Products'!$BL$7:$BL$100000,AX$10)</f>
        <v>0</v>
      </c>
      <c r="AY18" s="296">
        <f>COUNTIFS('Details-Products'!$C$7:$C$100000,$C18,'Details-Products'!$D$7:$D$100000,$B18,'Details-Products'!$BL$7:$BL$100000,AY$10,'Details-Products'!$X$7:$X$100000,"YES")</f>
        <v>0</v>
      </c>
      <c r="AZ18" s="359">
        <f>SUMIFS('Details-Products'!$Z$7:$Z$100000,'Details-Products'!$C$7:$C$100000,$C18,'Details-Products'!$D$7:$D$100000,$B18,'Details-Products'!$BL$7:$BL$100000,AZ$10,'Details-Products'!$X$7:$X$100000,"YES")</f>
        <v>0</v>
      </c>
      <c r="BA18" s="295">
        <f>COUNTIFS('Details-Products'!$C$7:$C$100000,$C18,'Details-Products'!$D$7:$D$100000,$B18,'Details-Products'!$BL$7:$BL$100000,BA$10)</f>
        <v>0</v>
      </c>
      <c r="BB18" s="296">
        <f>COUNTIFS('Details-Products'!$C$7:$C$100000,$C18,'Details-Products'!$D$7:$D$100000,$B18,'Details-Products'!$BL$7:$BL$100000,BB$10,'Details-Products'!$X$7:$X$100000,"YES")</f>
        <v>0</v>
      </c>
      <c r="BC18" s="359">
        <f>SUMIFS('Details-Products'!$Z$7:$Z$100000,'Details-Products'!$C$7:$C$100000,$C18,'Details-Products'!$D$7:$D$100000,$B18,'Details-Products'!$BL$7:$BL$100000,BC$10,'Details-Products'!$X$7:$X$100000,"YES")</f>
        <v>0</v>
      </c>
      <c r="BD18" s="298">
        <f>COUNTIFS('Details-Products'!$C$7:$C$100000,$C18,'Details-Products'!$D$7:$D$100000,$B18,'Details-Products'!$BL$7:$BL$100000,BD$10)</f>
        <v>0</v>
      </c>
      <c r="BE18" s="296">
        <f>COUNTIFS('Details-Products'!$C$7:$C$100000,$C18,'Details-Products'!$D$7:$D$100000,$B18,'Details-Products'!$BL$7:$BL$100000,BE$10,'Details-Products'!$X$7:$X$100000,"YES")</f>
        <v>0</v>
      </c>
      <c r="BF18" s="359">
        <f>SUMIFS('Details-Products'!$Z$7:$Z$100000,'Details-Products'!$C$7:$C$100000,$C18,'Details-Products'!$D$7:$D$100000,$B18,'Details-Products'!$BL$7:$BL$100000,BF$10,'Details-Products'!$X$7:$X$100000,"YES")</f>
        <v>0</v>
      </c>
      <c r="BG18" s="296">
        <f t="shared" si="16"/>
        <v>0</v>
      </c>
      <c r="BH18" s="296">
        <f t="shared" si="17"/>
        <v>0</v>
      </c>
      <c r="BI18" s="359">
        <f t="shared" si="18"/>
        <v>0</v>
      </c>
      <c r="BJ18" s="240"/>
    </row>
    <row r="19" spans="1:62" s="39" customFormat="1" ht="15.75" thickBot="1" x14ac:dyDescent="0.25">
      <c r="A19" s="59"/>
      <c r="B19" s="41">
        <v>23</v>
      </c>
      <c r="C19" s="41">
        <v>1</v>
      </c>
      <c r="D19" s="199" t="s">
        <v>142</v>
      </c>
      <c r="E19" s="291">
        <f>COUNTIFS('Details-Products'!$C$7:$C$100000,$C19,'Details-Products'!$D$7:$D$100000,$B19,'Details-Products'!$BL$7:$BL$100000,E$10)</f>
        <v>0</v>
      </c>
      <c r="F19" s="292">
        <f>COUNTIFS('Details-Products'!$C$7:$C$100000,$C19,'Details-Products'!$D$7:$D$100000,$B19,'Details-Products'!$BL$7:$BL$100000,F$10,'Details-Products'!$X$7:$X$100000,"YES")</f>
        <v>0</v>
      </c>
      <c r="G19" s="360">
        <f>SUMIFS('Details-Products'!$Z$7:$Z$100000,'Details-Products'!$C$7:$C$100000,$C19,'Details-Products'!$D$7:$D$100000,$B19,'Details-Products'!$BL$7:$BL$100000,G$10,'Details-Products'!$X$7:$X$100000,"YES")</f>
        <v>0</v>
      </c>
      <c r="H19" s="291">
        <f>COUNTIFS('Details-Products'!$C$7:$C$100000,$C19,'Details-Products'!$D$7:$D$100000,$B19,'Details-Products'!$BL$7:$BL$100000,H$10)</f>
        <v>0</v>
      </c>
      <c r="I19" s="292">
        <f>COUNTIFS('Details-Products'!$C$7:$C$100000,$C19,'Details-Products'!$D$7:$D$100000,$B19,'Details-Products'!$BL$7:$BL$100000,I$10,'Details-Products'!$X$7:$X$100000,"YES")</f>
        <v>0</v>
      </c>
      <c r="J19" s="360">
        <f>SUMIFS('Details-Products'!$Z$7:$Z$100000,'Details-Products'!$C$7:$C$100000,$C19,'Details-Products'!$D$7:$D$100000,$B19,'Details-Products'!$BL$7:$BL$100000,J$10,'Details-Products'!$X$7:$X$100000,"YES")</f>
        <v>0</v>
      </c>
      <c r="K19" s="291">
        <f>COUNTIFS('Details-Products'!$C$7:$C$100000,$C19,'Details-Products'!$D$7:$D$100000,$B19,'Details-Products'!$BL$7:$BL$100000,K$10)</f>
        <v>0</v>
      </c>
      <c r="L19" s="292">
        <f>COUNTIFS('Details-Products'!$C$7:$C$100000,$C19,'Details-Products'!$D$7:$D$100000,$B19,'Details-Products'!$BL$7:$BL$100000,L$10,'Details-Products'!$X$7:$X$100000,"YES")</f>
        <v>0</v>
      </c>
      <c r="M19" s="360">
        <f>SUMIFS('Details-Products'!$Z$7:$Z$100000,'Details-Products'!$C$7:$C$100000,$C19,'Details-Products'!$D$7:$D$100000,$B19,'Details-Products'!$BL$7:$BL$100000,M$10,'Details-Products'!$X$7:$X$100000,"YES")</f>
        <v>0</v>
      </c>
      <c r="N19" s="467">
        <f t="shared" si="1"/>
        <v>0</v>
      </c>
      <c r="O19" s="299">
        <f t="shared" si="2"/>
        <v>0</v>
      </c>
      <c r="P19" s="350">
        <f t="shared" si="3"/>
        <v>0</v>
      </c>
      <c r="Q19" s="350">
        <f>VLOOKUP(B19,Ttl_Inv!A:E,4,FALSE)</f>
        <v>0</v>
      </c>
      <c r="R19" s="328" t="e">
        <f t="shared" si="4"/>
        <v>#DIV/0!</v>
      </c>
      <c r="S19" s="360">
        <f>SUMIFS('Additional Color Sizes Report'!$R:$R,'Additional Color Sizes Report'!$B:$B,$B19)</f>
        <v>0</v>
      </c>
      <c r="T19" s="336" t="e">
        <f t="shared" si="5"/>
        <v>#DIV/0!</v>
      </c>
      <c r="U19" s="360">
        <f t="shared" si="6"/>
        <v>0</v>
      </c>
      <c r="V19" s="322" t="e">
        <f t="shared" si="7"/>
        <v>#DIV/0!</v>
      </c>
      <c r="W19" s="291">
        <f t="shared" si="8"/>
        <v>0</v>
      </c>
      <c r="X19" s="292">
        <f t="shared" si="9"/>
        <v>0</v>
      </c>
      <c r="Y19" s="360">
        <f t="shared" si="10"/>
        <v>0</v>
      </c>
      <c r="Z19" s="291">
        <f>COUNTIFS('Details-Products'!$C$7:$C$100000,$C19,'Details-Products'!$D$7:$D$100000,$B19,'Details-Products'!$BL$7:$BL$100000,Z$10)</f>
        <v>0</v>
      </c>
      <c r="AA19" s="291">
        <f>COUNTIFS('Details-Products'!$C$7:$C$100000,$C19,'Details-Products'!$D$7:$D$100000,$B19,'Details-Products'!$BL$7:$BL$100000,AA$10,'Details-Products'!$X$7:$X$100000,"YES")</f>
        <v>0</v>
      </c>
      <c r="AB19" s="360">
        <f>SUMIFS('Details-Products'!$Z$7:$Z$100000,'Details-Products'!$C$7:$C$100000,$C19,'Details-Products'!$D$7:$D$100000,$B19,'Details-Products'!$BL$7:$BL$100000,AB$10,'Details-Products'!$X$7:$X$100000,"YES")</f>
        <v>0</v>
      </c>
      <c r="AC19" s="291">
        <f>COUNTIFS('Details-Products'!$C$7:$C$100000,$C19,'Details-Products'!$D$7:$D$100000,$B19,'Details-Products'!$BL$7:$BL$100000,AC$10)</f>
        <v>0</v>
      </c>
      <c r="AD19" s="292">
        <f>COUNTIFS('Details-Products'!$C$7:$C$100000,$C19,'Details-Products'!$D$7:$D$100000,$B19,'Details-Products'!$BL$7:$BL$100000,AD$10,'Details-Products'!$X$7:$X$100000,"YES")</f>
        <v>0</v>
      </c>
      <c r="AE19" s="360">
        <f>SUMIFS('Details-Products'!$Z$7:$Z$100000,'Details-Products'!$C$7:$C$100000,$C19,'Details-Products'!$D$7:$D$100000,$B19,'Details-Products'!$BL$7:$BL$100000,AE$10,'Details-Products'!$X$7:$X$100000,"YES")</f>
        <v>0</v>
      </c>
      <c r="AF19" s="291">
        <f>COUNTIFS('Details-Products'!$C$7:$C$100000,$C19,'Details-Products'!$D$7:$D$100000,$B19,'Details-Products'!$BL$7:$BL$100000,AF$10)</f>
        <v>0</v>
      </c>
      <c r="AG19" s="292">
        <f>COUNTIFS('Details-Products'!$C$7:$C$100000,$C19,'Details-Products'!$D$7:$D$100000,$B19,'Details-Products'!$BL$7:$BL$100000,AG$10,'Details-Products'!$X$7:$X$100000,"YES")</f>
        <v>0</v>
      </c>
      <c r="AH19" s="360">
        <f>SUMIFS('Details-Products'!$Z$7:$Z$100000,'Details-Products'!$C$7:$C$100000,$C19,'Details-Products'!$D$7:$D$100000,$B19,'Details-Products'!$BL$7:$BL$100000,AH$10,'Details-Products'!$X$7:$X$100000,"YES")</f>
        <v>0</v>
      </c>
      <c r="AI19" s="291">
        <f>COUNTIFS('Details-Products'!$C$7:$C$100000,$C19,'Details-Products'!$D$7:$D$100000,$B19,'Details-Products'!$BL$7:$BL$100000,AI$10)</f>
        <v>0</v>
      </c>
      <c r="AJ19" s="292">
        <f>COUNTIFS('Details-Products'!$C$7:$C$100000,$C19,'Details-Products'!$D$7:$D$100000,$B19,'Details-Products'!$BL$7:$BL$100000,AJ$10,'Details-Products'!$X$7:$X$100000,"YES")</f>
        <v>0</v>
      </c>
      <c r="AK19" s="360">
        <f>SUMIFS('Details-Products'!$Z$7:$Z$100000,'Details-Products'!$C$7:$C$100000,$C19,'Details-Products'!$D$7:$D$100000,$B19,'Details-Products'!$BL$7:$BL$100000,AK$10,'Details-Products'!$X$7:$X$100000,"YES")</f>
        <v>0</v>
      </c>
      <c r="AL19" s="291">
        <f t="shared" si="12"/>
        <v>0</v>
      </c>
      <c r="AM19" s="292">
        <f t="shared" si="13"/>
        <v>0</v>
      </c>
      <c r="AN19" s="360">
        <f t="shared" si="14"/>
        <v>0</v>
      </c>
      <c r="AO19" s="292">
        <f>COUNTIFS('Details-Products'!$C$7:$C$100000,$C19,'Details-Products'!$D$7:$D$100000,$B19,'Details-Products'!$BL$7:$BL$100000,AO$10)</f>
        <v>0</v>
      </c>
      <c r="AP19" s="292">
        <f>COUNTIFS('Details-Products'!$C$7:$C$100000,$C19,'Details-Products'!$D$7:$D$100000,$B19,'Details-Products'!$BL$7:$BL$100000,AP$10,'Details-Products'!$X$7:$X$100000,"YES")</f>
        <v>0</v>
      </c>
      <c r="AQ19" s="360">
        <f>SUMIFS('Details-Products'!$Z$7:$Z$100000,'Details-Products'!$C$7:$C$100000,$C19,'Details-Products'!$D$7:$D$100000,$B19,'Details-Products'!$BL$7:$BL$100000,AQ$10,'Details-Products'!$X$7:$X$100000,"YES")</f>
        <v>0</v>
      </c>
      <c r="AR19" s="292">
        <f>COUNTIFS('Details-Products'!$C$7:$C$100000,$C19,'Details-Products'!$D$7:$D$100000,$B19,'Details-Products'!$BL$7:$BL$100000,AR$10)</f>
        <v>0</v>
      </c>
      <c r="AS19" s="292">
        <f>COUNTIFS('Details-Products'!$C$7:$C$100000,$C19,'Details-Products'!$D$7:$D$100000,$B19,'Details-Products'!$BL$7:$BL$100000,AS$10,'Details-Products'!$X$7:$X$100000,"YES")</f>
        <v>0</v>
      </c>
      <c r="AT19" s="360">
        <f>SUMIFS('Details-Products'!$Z$7:$Z$100000,'Details-Products'!$C$7:$C$100000,$C19,'Details-Products'!$D$7:$D$100000,$B19,'Details-Products'!$BL$7:$BL$100000,AT$10,'Details-Products'!$X$7:$X$100000,"YES")</f>
        <v>0</v>
      </c>
      <c r="AU19" s="292">
        <f>COUNTIFS('Details-Products'!$C$7:$C$100000,$C19,'Details-Products'!$D$7:$D$100000,$B19,'Details-Products'!$BL$7:$BL$100000,AU$10)</f>
        <v>0</v>
      </c>
      <c r="AV19" s="292">
        <f>COUNTIFS('Details-Products'!$C$7:$C$100000,$C19,'Details-Products'!$D$7:$D$100000,$B19,'Details-Products'!$BL$7:$BL$100000,AV$10,'Details-Products'!$X$7:$X$100000,"YES")</f>
        <v>0</v>
      </c>
      <c r="AW19" s="360">
        <f>SUMIFS('Details-Products'!$Z$7:$Z$100000,'Details-Products'!$C$7:$C$100000,$C19,'Details-Products'!$D$7:$D$100000,$B19,'Details-Products'!$BL$7:$BL$100000,AW$10,'Details-Products'!$X$7:$X$100000,"YES")</f>
        <v>0</v>
      </c>
      <c r="AX19" s="291">
        <f>COUNTIFS('Details-Products'!$C$7:$C$100000,$C19,'Details-Products'!$D$7:$D$100000,$B19,'Details-Products'!$BL$7:$BL$100000,AX$10)</f>
        <v>0</v>
      </c>
      <c r="AY19" s="292">
        <f>COUNTIFS('Details-Products'!$C$7:$C$100000,$C19,'Details-Products'!$D$7:$D$100000,$B19,'Details-Products'!$BL$7:$BL$100000,AY$10,'Details-Products'!$X$7:$X$100000,"YES")</f>
        <v>0</v>
      </c>
      <c r="AZ19" s="360">
        <f>SUMIFS('Details-Products'!$Z$7:$Z$100000,'Details-Products'!$C$7:$C$100000,$C19,'Details-Products'!$D$7:$D$100000,$B19,'Details-Products'!$BL$7:$BL$100000,AZ$10,'Details-Products'!$X$7:$X$100000,"YES")</f>
        <v>0</v>
      </c>
      <c r="BA19" s="291">
        <f>COUNTIFS('Details-Products'!$C$7:$C$100000,$C19,'Details-Products'!$D$7:$D$100000,$B19,'Details-Products'!$BL$7:$BL$100000,BA$10)</f>
        <v>0</v>
      </c>
      <c r="BB19" s="292">
        <f>COUNTIFS('Details-Products'!$C$7:$C$100000,$C19,'Details-Products'!$D$7:$D$100000,$B19,'Details-Products'!$BL$7:$BL$100000,BB$10,'Details-Products'!$X$7:$X$100000,"YES")</f>
        <v>0</v>
      </c>
      <c r="BC19" s="360">
        <f>SUMIFS('Details-Products'!$Z$7:$Z$100000,'Details-Products'!$C$7:$C$100000,$C19,'Details-Products'!$D$7:$D$100000,$B19,'Details-Products'!$BL$7:$BL$100000,BC$10,'Details-Products'!$X$7:$X$100000,"YES")</f>
        <v>0</v>
      </c>
      <c r="BD19" s="294">
        <f>COUNTIFS('Details-Products'!$C$7:$C$100000,$C19,'Details-Products'!$D$7:$D$100000,$B19,'Details-Products'!$BL$7:$BL$100000,BD$10)</f>
        <v>0</v>
      </c>
      <c r="BE19" s="292">
        <f>COUNTIFS('Details-Products'!$C$7:$C$100000,$C19,'Details-Products'!$D$7:$D$100000,$B19,'Details-Products'!$BL$7:$BL$100000,BE$10,'Details-Products'!$X$7:$X$100000,"YES")</f>
        <v>0</v>
      </c>
      <c r="BF19" s="360">
        <f>SUMIFS('Details-Products'!$Z$7:$Z$100000,'Details-Products'!$C$7:$C$100000,$C19,'Details-Products'!$D$7:$D$100000,$B19,'Details-Products'!$BL$7:$BL$100000,BF$10,'Details-Products'!$X$7:$X$100000,"YES")</f>
        <v>0</v>
      </c>
      <c r="BG19" s="292">
        <f t="shared" si="16"/>
        <v>0</v>
      </c>
      <c r="BH19" s="292">
        <f t="shared" si="17"/>
        <v>0</v>
      </c>
      <c r="BI19" s="360">
        <f t="shared" si="18"/>
        <v>0</v>
      </c>
      <c r="BJ19" s="238"/>
    </row>
    <row r="20" spans="1:62" s="39" customFormat="1" ht="15.75" thickBot="1" x14ac:dyDescent="0.25">
      <c r="A20" s="59"/>
      <c r="B20" s="41">
        <v>24</v>
      </c>
      <c r="C20" s="41">
        <v>1</v>
      </c>
      <c r="D20" s="200" t="s">
        <v>143</v>
      </c>
      <c r="E20" s="295">
        <f>COUNTIFS('Details-Products'!$C$7:$C$100000,$C20,'Details-Products'!$D$7:$D$100000,$B20,'Details-Products'!$BL$7:$BL$100000,E$10)</f>
        <v>0</v>
      </c>
      <c r="F20" s="296">
        <f>COUNTIFS('Details-Products'!$C$7:$C$100000,$C20,'Details-Products'!$D$7:$D$100000,$B20,'Details-Products'!$BL$7:$BL$100000,F$10,'Details-Products'!$X$7:$X$100000,"YES")</f>
        <v>0</v>
      </c>
      <c r="G20" s="359">
        <f>SUMIFS('Details-Products'!$Z$7:$Z$100000,'Details-Products'!$C$7:$C$100000,$C20,'Details-Products'!$D$7:$D$100000,$B20,'Details-Products'!$BL$7:$BL$100000,G$10,'Details-Products'!$X$7:$X$100000,"YES")</f>
        <v>0</v>
      </c>
      <c r="H20" s="295">
        <f>COUNTIFS('Details-Products'!$C$7:$C$100000,$C20,'Details-Products'!$D$7:$D$100000,$B20,'Details-Products'!$BL$7:$BL$100000,H$10)</f>
        <v>0</v>
      </c>
      <c r="I20" s="296">
        <f>COUNTIFS('Details-Products'!$C$7:$C$100000,$C20,'Details-Products'!$D$7:$D$100000,$B20,'Details-Products'!$BL$7:$BL$100000,I$10,'Details-Products'!$X$7:$X$100000,"YES")</f>
        <v>0</v>
      </c>
      <c r="J20" s="359">
        <f>SUMIFS('Details-Products'!$Z$7:$Z$100000,'Details-Products'!$C$7:$C$100000,$C20,'Details-Products'!$D$7:$D$100000,$B20,'Details-Products'!$BL$7:$BL$100000,J$10,'Details-Products'!$X$7:$X$100000,"YES")</f>
        <v>0</v>
      </c>
      <c r="K20" s="295">
        <f>COUNTIFS('Details-Products'!$C$7:$C$100000,$C20,'Details-Products'!$D$7:$D$100000,$B20,'Details-Products'!$BL$7:$BL$100000,K$10)</f>
        <v>0</v>
      </c>
      <c r="L20" s="296">
        <f>COUNTIFS('Details-Products'!$C$7:$C$100000,$C20,'Details-Products'!$D$7:$D$100000,$B20,'Details-Products'!$BL$7:$BL$100000,L$10,'Details-Products'!$X$7:$X$100000,"YES")</f>
        <v>0</v>
      </c>
      <c r="M20" s="359">
        <f>SUMIFS('Details-Products'!$Z$7:$Z$100000,'Details-Products'!$C$7:$C$100000,$C20,'Details-Products'!$D$7:$D$100000,$B20,'Details-Products'!$BL$7:$BL$100000,M$10,'Details-Products'!$X$7:$X$100000,"YES")</f>
        <v>0</v>
      </c>
      <c r="N20" s="466">
        <f t="shared" si="1"/>
        <v>0</v>
      </c>
      <c r="O20" s="297">
        <f t="shared" si="2"/>
        <v>0</v>
      </c>
      <c r="P20" s="349">
        <f t="shared" si="3"/>
        <v>0</v>
      </c>
      <c r="Q20" s="349">
        <f>VLOOKUP(B20,Ttl_Inv!A:E,4,FALSE)</f>
        <v>0</v>
      </c>
      <c r="R20" s="327" t="e">
        <f t="shared" si="4"/>
        <v>#DIV/0!</v>
      </c>
      <c r="S20" s="359">
        <f>SUMIFS('Additional Color Sizes Report'!$R:$R,'Additional Color Sizes Report'!$B:$B,$B20)</f>
        <v>0</v>
      </c>
      <c r="T20" s="337" t="e">
        <f t="shared" si="5"/>
        <v>#DIV/0!</v>
      </c>
      <c r="U20" s="359">
        <f t="shared" si="6"/>
        <v>0</v>
      </c>
      <c r="V20" s="321" t="e">
        <f t="shared" si="7"/>
        <v>#DIV/0!</v>
      </c>
      <c r="W20" s="295">
        <f t="shared" si="8"/>
        <v>0</v>
      </c>
      <c r="X20" s="296">
        <f t="shared" si="9"/>
        <v>0</v>
      </c>
      <c r="Y20" s="359">
        <f t="shared" si="10"/>
        <v>0</v>
      </c>
      <c r="Z20" s="295">
        <f>COUNTIFS('Details-Products'!$C$7:$C$100000,$C20,'Details-Products'!$D$7:$D$100000,$B20,'Details-Products'!$BL$7:$BL$100000,Z$10)</f>
        <v>0</v>
      </c>
      <c r="AA20" s="295">
        <f>COUNTIFS('Details-Products'!$C$7:$C$100000,$C20,'Details-Products'!$D$7:$D$100000,$B20,'Details-Products'!$BL$7:$BL$100000,AA$10,'Details-Products'!$X$7:$X$100000,"YES")</f>
        <v>0</v>
      </c>
      <c r="AB20" s="359">
        <f>SUMIFS('Details-Products'!$Z$7:$Z$100000,'Details-Products'!$C$7:$C$100000,$C20,'Details-Products'!$D$7:$D$100000,$B20,'Details-Products'!$BL$7:$BL$100000,AB$10,'Details-Products'!$X$7:$X$100000,"YES")</f>
        <v>0</v>
      </c>
      <c r="AC20" s="295">
        <f>COUNTIFS('Details-Products'!$C$7:$C$100000,$C20,'Details-Products'!$D$7:$D$100000,$B20,'Details-Products'!$BL$7:$BL$100000,AC$10)</f>
        <v>0</v>
      </c>
      <c r="AD20" s="296">
        <f>COUNTIFS('Details-Products'!$C$7:$C$100000,$C20,'Details-Products'!$D$7:$D$100000,$B20,'Details-Products'!$BL$7:$BL$100000,AD$10,'Details-Products'!$X$7:$X$100000,"YES")</f>
        <v>0</v>
      </c>
      <c r="AE20" s="359">
        <f>SUMIFS('Details-Products'!$Z$7:$Z$100000,'Details-Products'!$C$7:$C$100000,$C20,'Details-Products'!$D$7:$D$100000,$B20,'Details-Products'!$BL$7:$BL$100000,AE$10,'Details-Products'!$X$7:$X$100000,"YES")</f>
        <v>0</v>
      </c>
      <c r="AF20" s="295">
        <f>COUNTIFS('Details-Products'!$C$7:$C$100000,$C20,'Details-Products'!$D$7:$D$100000,$B20,'Details-Products'!$BL$7:$BL$100000,AF$10)</f>
        <v>0</v>
      </c>
      <c r="AG20" s="296">
        <f>COUNTIFS('Details-Products'!$C$7:$C$100000,$C20,'Details-Products'!$D$7:$D$100000,$B20,'Details-Products'!$BL$7:$BL$100000,AG$10,'Details-Products'!$X$7:$X$100000,"YES")</f>
        <v>0</v>
      </c>
      <c r="AH20" s="359">
        <f>SUMIFS('Details-Products'!$Z$7:$Z$100000,'Details-Products'!$C$7:$C$100000,$C20,'Details-Products'!$D$7:$D$100000,$B20,'Details-Products'!$BL$7:$BL$100000,AH$10,'Details-Products'!$X$7:$X$100000,"YES")</f>
        <v>0</v>
      </c>
      <c r="AI20" s="295">
        <f>COUNTIFS('Details-Products'!$C$7:$C$100000,$C20,'Details-Products'!$D$7:$D$100000,$B20,'Details-Products'!$BL$7:$BL$100000,AI$10)</f>
        <v>0</v>
      </c>
      <c r="AJ20" s="296">
        <f>COUNTIFS('Details-Products'!$C$7:$C$100000,$C20,'Details-Products'!$D$7:$D$100000,$B20,'Details-Products'!$BL$7:$BL$100000,AJ$10,'Details-Products'!$X$7:$X$100000,"YES")</f>
        <v>0</v>
      </c>
      <c r="AK20" s="359">
        <f>SUMIFS('Details-Products'!$Z$7:$Z$100000,'Details-Products'!$C$7:$C$100000,$C20,'Details-Products'!$D$7:$D$100000,$B20,'Details-Products'!$BL$7:$BL$100000,AK$10,'Details-Products'!$X$7:$X$100000,"YES")</f>
        <v>0</v>
      </c>
      <c r="AL20" s="295">
        <f t="shared" si="12"/>
        <v>0</v>
      </c>
      <c r="AM20" s="296">
        <f t="shared" si="13"/>
        <v>0</v>
      </c>
      <c r="AN20" s="359">
        <f t="shared" si="14"/>
        <v>0</v>
      </c>
      <c r="AO20" s="296">
        <f>COUNTIFS('Details-Products'!$C$7:$C$100000,$C20,'Details-Products'!$D$7:$D$100000,$B20,'Details-Products'!$BL$7:$BL$100000,AO$10)</f>
        <v>0</v>
      </c>
      <c r="AP20" s="296">
        <f>COUNTIFS('Details-Products'!$C$7:$C$100000,$C20,'Details-Products'!$D$7:$D$100000,$B20,'Details-Products'!$BL$7:$BL$100000,AP$10,'Details-Products'!$X$7:$X$100000,"YES")</f>
        <v>0</v>
      </c>
      <c r="AQ20" s="359">
        <f>SUMIFS('Details-Products'!$Z$7:$Z$100000,'Details-Products'!$C$7:$C$100000,$C20,'Details-Products'!$D$7:$D$100000,$B20,'Details-Products'!$BL$7:$BL$100000,AQ$10,'Details-Products'!$X$7:$X$100000,"YES")</f>
        <v>0</v>
      </c>
      <c r="AR20" s="296">
        <f>COUNTIFS('Details-Products'!$C$7:$C$100000,$C20,'Details-Products'!$D$7:$D$100000,$B20,'Details-Products'!$BL$7:$BL$100000,AR$10)</f>
        <v>0</v>
      </c>
      <c r="AS20" s="296">
        <f>COUNTIFS('Details-Products'!$C$7:$C$100000,$C20,'Details-Products'!$D$7:$D$100000,$B20,'Details-Products'!$BL$7:$BL$100000,AS$10,'Details-Products'!$X$7:$X$100000,"YES")</f>
        <v>0</v>
      </c>
      <c r="AT20" s="359">
        <f>SUMIFS('Details-Products'!$Z$7:$Z$100000,'Details-Products'!$C$7:$C$100000,$C20,'Details-Products'!$D$7:$D$100000,$B20,'Details-Products'!$BL$7:$BL$100000,AT$10,'Details-Products'!$X$7:$X$100000,"YES")</f>
        <v>0</v>
      </c>
      <c r="AU20" s="296">
        <f>COUNTIFS('Details-Products'!$C$7:$C$100000,$C20,'Details-Products'!$D$7:$D$100000,$B20,'Details-Products'!$BL$7:$BL$100000,AU$10)</f>
        <v>0</v>
      </c>
      <c r="AV20" s="296">
        <f>COUNTIFS('Details-Products'!$C$7:$C$100000,$C20,'Details-Products'!$D$7:$D$100000,$B20,'Details-Products'!$BL$7:$BL$100000,AV$10,'Details-Products'!$X$7:$X$100000,"YES")</f>
        <v>0</v>
      </c>
      <c r="AW20" s="359">
        <f>SUMIFS('Details-Products'!$Z$7:$Z$100000,'Details-Products'!$C$7:$C$100000,$C20,'Details-Products'!$D$7:$D$100000,$B20,'Details-Products'!$BL$7:$BL$100000,AW$10,'Details-Products'!$X$7:$X$100000,"YES")</f>
        <v>0</v>
      </c>
      <c r="AX20" s="295">
        <f>COUNTIFS('Details-Products'!$C$7:$C$100000,$C20,'Details-Products'!$D$7:$D$100000,$B20,'Details-Products'!$BL$7:$BL$100000,AX$10)</f>
        <v>0</v>
      </c>
      <c r="AY20" s="296">
        <f>COUNTIFS('Details-Products'!$C$7:$C$100000,$C20,'Details-Products'!$D$7:$D$100000,$B20,'Details-Products'!$BL$7:$BL$100000,AY$10,'Details-Products'!$X$7:$X$100000,"YES")</f>
        <v>0</v>
      </c>
      <c r="AZ20" s="359">
        <f>SUMIFS('Details-Products'!$Z$7:$Z$100000,'Details-Products'!$C$7:$C$100000,$C20,'Details-Products'!$D$7:$D$100000,$B20,'Details-Products'!$BL$7:$BL$100000,AZ$10,'Details-Products'!$X$7:$X$100000,"YES")</f>
        <v>0</v>
      </c>
      <c r="BA20" s="295">
        <f>COUNTIFS('Details-Products'!$C$7:$C$100000,$C20,'Details-Products'!$D$7:$D$100000,$B20,'Details-Products'!$BL$7:$BL$100000,BA$10)</f>
        <v>0</v>
      </c>
      <c r="BB20" s="296">
        <f>COUNTIFS('Details-Products'!$C$7:$C$100000,$C20,'Details-Products'!$D$7:$D$100000,$B20,'Details-Products'!$BL$7:$BL$100000,BB$10,'Details-Products'!$X$7:$X$100000,"YES")</f>
        <v>0</v>
      </c>
      <c r="BC20" s="359">
        <f>SUMIFS('Details-Products'!$Z$7:$Z$100000,'Details-Products'!$C$7:$C$100000,$C20,'Details-Products'!$D$7:$D$100000,$B20,'Details-Products'!$BL$7:$BL$100000,BC$10,'Details-Products'!$X$7:$X$100000,"YES")</f>
        <v>0</v>
      </c>
      <c r="BD20" s="298">
        <f>COUNTIFS('Details-Products'!$C$7:$C$100000,$C20,'Details-Products'!$D$7:$D$100000,$B20,'Details-Products'!$BL$7:$BL$100000,BD$10)</f>
        <v>0</v>
      </c>
      <c r="BE20" s="296">
        <f>COUNTIFS('Details-Products'!$C$7:$C$100000,$C20,'Details-Products'!$D$7:$D$100000,$B20,'Details-Products'!$BL$7:$BL$100000,BE$10,'Details-Products'!$X$7:$X$100000,"YES")</f>
        <v>0</v>
      </c>
      <c r="BF20" s="359">
        <f>SUMIFS('Details-Products'!$Z$7:$Z$100000,'Details-Products'!$C$7:$C$100000,$C20,'Details-Products'!$D$7:$D$100000,$B20,'Details-Products'!$BL$7:$BL$100000,BF$10,'Details-Products'!$X$7:$X$100000,"YES")</f>
        <v>0</v>
      </c>
      <c r="BG20" s="296">
        <f t="shared" si="16"/>
        <v>0</v>
      </c>
      <c r="BH20" s="296">
        <f t="shared" si="17"/>
        <v>0</v>
      </c>
      <c r="BI20" s="359">
        <f t="shared" si="18"/>
        <v>0</v>
      </c>
      <c r="BJ20" s="238"/>
    </row>
    <row r="21" spans="1:62" ht="16.5" thickBot="1" x14ac:dyDescent="0.25">
      <c r="A21" s="59" t="s">
        <v>196</v>
      </c>
      <c r="B21" s="41">
        <v>2</v>
      </c>
      <c r="C21" s="41">
        <v>2</v>
      </c>
      <c r="D21" s="201" t="s">
        <v>144</v>
      </c>
      <c r="E21" s="285">
        <f t="shared" ref="E21:M21" si="19">SUM(E22:E29)</f>
        <v>0</v>
      </c>
      <c r="F21" s="286">
        <f t="shared" si="19"/>
        <v>0</v>
      </c>
      <c r="G21" s="361">
        <f t="shared" si="19"/>
        <v>0</v>
      </c>
      <c r="H21" s="285">
        <f t="shared" si="19"/>
        <v>0</v>
      </c>
      <c r="I21" s="286">
        <f t="shared" si="19"/>
        <v>0</v>
      </c>
      <c r="J21" s="361">
        <f t="shared" si="19"/>
        <v>0</v>
      </c>
      <c r="K21" s="285">
        <f t="shared" si="19"/>
        <v>0</v>
      </c>
      <c r="L21" s="286">
        <f t="shared" si="19"/>
        <v>0</v>
      </c>
      <c r="M21" s="361">
        <f t="shared" si="19"/>
        <v>0</v>
      </c>
      <c r="N21" s="464">
        <f t="shared" si="1"/>
        <v>0</v>
      </c>
      <c r="O21" s="287">
        <f t="shared" si="2"/>
        <v>0</v>
      </c>
      <c r="P21" s="351">
        <f t="shared" si="3"/>
        <v>0</v>
      </c>
      <c r="Q21" s="351">
        <f>SUM(Q22:Q29)</f>
        <v>0</v>
      </c>
      <c r="R21" s="325" t="e">
        <f t="shared" si="4"/>
        <v>#DIV/0!</v>
      </c>
      <c r="S21" s="361">
        <f>SUM(S22:S29)</f>
        <v>0</v>
      </c>
      <c r="T21" s="338" t="e">
        <f t="shared" si="5"/>
        <v>#DIV/0!</v>
      </c>
      <c r="U21" s="361">
        <f t="shared" si="6"/>
        <v>0</v>
      </c>
      <c r="V21" s="319" t="e">
        <f t="shared" si="7"/>
        <v>#DIV/0!</v>
      </c>
      <c r="W21" s="288">
        <f t="shared" si="8"/>
        <v>0</v>
      </c>
      <c r="X21" s="289">
        <f t="shared" si="9"/>
        <v>0</v>
      </c>
      <c r="Y21" s="361">
        <f t="shared" si="10"/>
        <v>0</v>
      </c>
      <c r="Z21" s="288">
        <f t="shared" ref="Z21:AK21" si="20">SUM(Z22:Z29)</f>
        <v>0</v>
      </c>
      <c r="AA21" s="288">
        <f t="shared" si="20"/>
        <v>0</v>
      </c>
      <c r="AB21" s="361">
        <f t="shared" si="20"/>
        <v>0</v>
      </c>
      <c r="AC21" s="288">
        <f t="shared" si="20"/>
        <v>0</v>
      </c>
      <c r="AD21" s="289">
        <f t="shared" si="20"/>
        <v>0</v>
      </c>
      <c r="AE21" s="361">
        <f t="shared" si="20"/>
        <v>0</v>
      </c>
      <c r="AF21" s="288">
        <f t="shared" si="20"/>
        <v>0</v>
      </c>
      <c r="AG21" s="289">
        <f t="shared" si="20"/>
        <v>0</v>
      </c>
      <c r="AH21" s="361">
        <f t="shared" si="20"/>
        <v>0</v>
      </c>
      <c r="AI21" s="288">
        <f t="shared" si="20"/>
        <v>0</v>
      </c>
      <c r="AJ21" s="289">
        <f t="shared" si="20"/>
        <v>0</v>
      </c>
      <c r="AK21" s="361">
        <f t="shared" si="20"/>
        <v>0</v>
      </c>
      <c r="AL21" s="288">
        <f t="shared" si="12"/>
        <v>0</v>
      </c>
      <c r="AM21" s="289">
        <f t="shared" si="13"/>
        <v>0</v>
      </c>
      <c r="AN21" s="361">
        <f t="shared" si="14"/>
        <v>0</v>
      </c>
      <c r="AO21" s="289">
        <f t="shared" ref="AO21:BF21" si="21">SUM(AO22:AO29)</f>
        <v>0</v>
      </c>
      <c r="AP21" s="289">
        <f t="shared" si="21"/>
        <v>0</v>
      </c>
      <c r="AQ21" s="361">
        <f t="shared" si="21"/>
        <v>0</v>
      </c>
      <c r="AR21" s="289">
        <f t="shared" si="21"/>
        <v>0</v>
      </c>
      <c r="AS21" s="289">
        <f t="shared" si="21"/>
        <v>0</v>
      </c>
      <c r="AT21" s="361">
        <f t="shared" si="21"/>
        <v>0</v>
      </c>
      <c r="AU21" s="289">
        <f t="shared" si="21"/>
        <v>0</v>
      </c>
      <c r="AV21" s="289">
        <f t="shared" si="21"/>
        <v>0</v>
      </c>
      <c r="AW21" s="361">
        <f t="shared" si="21"/>
        <v>0</v>
      </c>
      <c r="AX21" s="288">
        <f t="shared" si="21"/>
        <v>0</v>
      </c>
      <c r="AY21" s="289">
        <f t="shared" si="21"/>
        <v>0</v>
      </c>
      <c r="AZ21" s="361">
        <f t="shared" si="21"/>
        <v>0</v>
      </c>
      <c r="BA21" s="288">
        <f t="shared" si="21"/>
        <v>0</v>
      </c>
      <c r="BB21" s="289">
        <f t="shared" si="21"/>
        <v>0</v>
      </c>
      <c r="BC21" s="361">
        <f t="shared" si="21"/>
        <v>0</v>
      </c>
      <c r="BD21" s="290">
        <f t="shared" si="21"/>
        <v>0</v>
      </c>
      <c r="BE21" s="289">
        <f t="shared" si="21"/>
        <v>0</v>
      </c>
      <c r="BF21" s="361">
        <f t="shared" si="21"/>
        <v>0</v>
      </c>
      <c r="BG21" s="289">
        <f t="shared" si="16"/>
        <v>0</v>
      </c>
      <c r="BH21" s="289">
        <f t="shared" si="17"/>
        <v>0</v>
      </c>
      <c r="BI21" s="361">
        <f t="shared" si="18"/>
        <v>0</v>
      </c>
      <c r="BJ21" s="240"/>
    </row>
    <row r="22" spans="1:62" ht="15" x14ac:dyDescent="0.2">
      <c r="B22" s="41">
        <v>25</v>
      </c>
      <c r="C22" s="41">
        <v>2</v>
      </c>
      <c r="D22" s="199" t="s">
        <v>263</v>
      </c>
      <c r="E22" s="291">
        <f>COUNTIFS('Details-Products'!$C$7:$C$100000,$C22,'Details-Products'!$D$7:$D$100000,$B22,'Details-Products'!$BL$7:$BL$100000,E$10)</f>
        <v>0</v>
      </c>
      <c r="F22" s="292">
        <f>COUNTIFS('Details-Products'!$C$7:$C$100000,$C22,'Details-Products'!$D$7:$D$100000,$B22,'Details-Products'!$BL$7:$BL$100000,F$10,'Details-Products'!$X$7:$X$100000,"YES")</f>
        <v>0</v>
      </c>
      <c r="G22" s="360">
        <f>SUMIFS('Details-Products'!$Z$7:$Z$100000,'Details-Products'!$C$7:$C$100000,$C22,'Details-Products'!$D$7:$D$100000,$B22,'Details-Products'!$BL$7:$BL$100000,G$10,'Details-Products'!$X$7:$X$100000,"YES")</f>
        <v>0</v>
      </c>
      <c r="H22" s="291">
        <f>COUNTIFS('Details-Products'!$C$7:$C$100000,$C22,'Details-Products'!$D$7:$D$100000,$B22,'Details-Products'!$BL$7:$BL$100000,H$10)</f>
        <v>0</v>
      </c>
      <c r="I22" s="292">
        <f>COUNTIFS('Details-Products'!$C$7:$C$100000,$C22,'Details-Products'!$D$7:$D$100000,$B22,'Details-Products'!$BL$7:$BL$100000,I$10,'Details-Products'!$X$7:$X$100000,"YES")</f>
        <v>0</v>
      </c>
      <c r="J22" s="360">
        <f>SUMIFS('Details-Products'!$Z$7:$Z$100000,'Details-Products'!$C$7:$C$100000,$C22,'Details-Products'!$D$7:$D$100000,$B22,'Details-Products'!$BL$7:$BL$100000,J$10,'Details-Products'!$X$7:$X$100000,"YES")</f>
        <v>0</v>
      </c>
      <c r="K22" s="291">
        <f>COUNTIFS('Details-Products'!$C$7:$C$100000,$C22,'Details-Products'!$D$7:$D$100000,$B22,'Details-Products'!$BL$7:$BL$100000,K$10)</f>
        <v>0</v>
      </c>
      <c r="L22" s="292">
        <f>COUNTIFS('Details-Products'!$C$7:$C$100000,$C22,'Details-Products'!$D$7:$D$100000,$B22,'Details-Products'!$BL$7:$BL$100000,L$10,'Details-Products'!$X$7:$X$100000,"YES")</f>
        <v>0</v>
      </c>
      <c r="M22" s="360">
        <f>SUMIFS('Details-Products'!$Z$7:$Z$100000,'Details-Products'!$C$7:$C$100000,$C22,'Details-Products'!$D$7:$D$100000,$B22,'Details-Products'!$BL$7:$BL$100000,M$10,'Details-Products'!$X$7:$X$100000,"YES")</f>
        <v>0</v>
      </c>
      <c r="N22" s="467">
        <f t="shared" si="1"/>
        <v>0</v>
      </c>
      <c r="O22" s="300">
        <f t="shared" si="2"/>
        <v>0</v>
      </c>
      <c r="P22" s="352">
        <f t="shared" si="3"/>
        <v>0</v>
      </c>
      <c r="Q22" s="352">
        <f>VLOOKUP(B22,Ttl_Inv!A:E,4,FALSE)</f>
        <v>0</v>
      </c>
      <c r="R22" s="326" t="e">
        <f t="shared" si="4"/>
        <v>#DIV/0!</v>
      </c>
      <c r="S22" s="360">
        <f>SUMIFS('Additional Color Sizes Report'!$R:$R,'Additional Color Sizes Report'!$B:$B,$B22)</f>
        <v>0</v>
      </c>
      <c r="T22" s="339" t="e">
        <f t="shared" si="5"/>
        <v>#DIV/0!</v>
      </c>
      <c r="U22" s="360">
        <f t="shared" si="6"/>
        <v>0</v>
      </c>
      <c r="V22" s="322" t="e">
        <f t="shared" si="7"/>
        <v>#DIV/0!</v>
      </c>
      <c r="W22" s="291">
        <f t="shared" si="8"/>
        <v>0</v>
      </c>
      <c r="X22" s="292">
        <f t="shared" si="9"/>
        <v>0</v>
      </c>
      <c r="Y22" s="360">
        <f t="shared" si="10"/>
        <v>0</v>
      </c>
      <c r="Z22" s="291">
        <f>COUNTIFS('Details-Products'!$C$7:$C$100000,$C22,'Details-Products'!$D$7:$D$100000,$B22,'Details-Products'!$BL$7:$BL$100000,Z$10)</f>
        <v>0</v>
      </c>
      <c r="AA22" s="291">
        <f>COUNTIFS('Details-Products'!$C$7:$C$100000,$C22,'Details-Products'!$D$7:$D$100000,$B22,'Details-Products'!$BL$7:$BL$100000,AA$10,'Details-Products'!$X$7:$X$100000,"YES")</f>
        <v>0</v>
      </c>
      <c r="AB22" s="360">
        <f>SUMIFS('Details-Products'!$Z$7:$Z$100000,'Details-Products'!$C$7:$C$100000,$C22,'Details-Products'!$D$7:$D$100000,$B22,'Details-Products'!$BL$7:$BL$100000,AB$10,'Details-Products'!$X$7:$X$100000,"YES")</f>
        <v>0</v>
      </c>
      <c r="AC22" s="291">
        <f>COUNTIFS('Details-Products'!$C$7:$C$100000,$C22,'Details-Products'!$D$7:$D$100000,$B22,'Details-Products'!$BL$7:$BL$100000,AC$10)</f>
        <v>0</v>
      </c>
      <c r="AD22" s="292">
        <f>COUNTIFS('Details-Products'!$C$7:$C$100000,$C22,'Details-Products'!$D$7:$D$100000,$B22,'Details-Products'!$BL$7:$BL$100000,AD$10,'Details-Products'!$X$7:$X$100000,"YES")</f>
        <v>0</v>
      </c>
      <c r="AE22" s="360">
        <f>SUMIFS('Details-Products'!$Z$7:$Z$100000,'Details-Products'!$C$7:$C$100000,$C22,'Details-Products'!$D$7:$D$100000,$B22,'Details-Products'!$BL$7:$BL$100000,AE$10,'Details-Products'!$X$7:$X$100000,"YES")</f>
        <v>0</v>
      </c>
      <c r="AF22" s="291">
        <f>COUNTIFS('Details-Products'!$C$7:$C$100000,$C22,'Details-Products'!$D$7:$D$100000,$B22,'Details-Products'!$BL$7:$BL$100000,AF$10)</f>
        <v>0</v>
      </c>
      <c r="AG22" s="292">
        <f>COUNTIFS('Details-Products'!$C$7:$C$100000,$C22,'Details-Products'!$D$7:$D$100000,$B22,'Details-Products'!$BL$7:$BL$100000,AG$10,'Details-Products'!$X$7:$X$100000,"YES")</f>
        <v>0</v>
      </c>
      <c r="AH22" s="360">
        <f>SUMIFS('Details-Products'!$Z$7:$Z$100000,'Details-Products'!$C$7:$C$100000,$C22,'Details-Products'!$D$7:$D$100000,$B22,'Details-Products'!$BL$7:$BL$100000,AH$10,'Details-Products'!$X$7:$X$100000,"YES")</f>
        <v>0</v>
      </c>
      <c r="AI22" s="291">
        <f>COUNTIFS('Details-Products'!$C$7:$C$100000,$C22,'Details-Products'!$D$7:$D$100000,$B22,'Details-Products'!$BL$7:$BL$100000,AI$10)</f>
        <v>0</v>
      </c>
      <c r="AJ22" s="292">
        <f>COUNTIFS('Details-Products'!$C$7:$C$100000,$C22,'Details-Products'!$D$7:$D$100000,$B22,'Details-Products'!$BL$7:$BL$100000,AJ$10,'Details-Products'!$X$7:$X$100000,"YES")</f>
        <v>0</v>
      </c>
      <c r="AK22" s="360">
        <f>SUMIFS('Details-Products'!$Z$7:$Z$100000,'Details-Products'!$C$7:$C$100000,$C22,'Details-Products'!$D$7:$D$100000,$B22,'Details-Products'!$BL$7:$BL$100000,AK$10,'Details-Products'!$X$7:$X$100000,"YES")</f>
        <v>0</v>
      </c>
      <c r="AL22" s="291">
        <f t="shared" si="12"/>
        <v>0</v>
      </c>
      <c r="AM22" s="292">
        <f t="shared" si="13"/>
        <v>0</v>
      </c>
      <c r="AN22" s="360">
        <f t="shared" si="14"/>
        <v>0</v>
      </c>
      <c r="AO22" s="292">
        <f>COUNTIFS('Details-Products'!$C$7:$C$100000,$C22,'Details-Products'!$D$7:$D$100000,$B22,'Details-Products'!$BL$7:$BL$100000,AO$10)</f>
        <v>0</v>
      </c>
      <c r="AP22" s="292">
        <f>COUNTIFS('Details-Products'!$C$7:$C$100000,$C22,'Details-Products'!$D$7:$D$100000,$B22,'Details-Products'!$BL$7:$BL$100000,AP$10,'Details-Products'!$X$7:$X$100000,"YES")</f>
        <v>0</v>
      </c>
      <c r="AQ22" s="360">
        <f>SUMIFS('Details-Products'!$Z$7:$Z$100000,'Details-Products'!$C$7:$C$100000,$C22,'Details-Products'!$D$7:$D$100000,$B22,'Details-Products'!$BL$7:$BL$100000,AQ$10,'Details-Products'!$X$7:$X$100000,"YES")</f>
        <v>0</v>
      </c>
      <c r="AR22" s="292">
        <f>COUNTIFS('Details-Products'!$C$7:$C$100000,$C22,'Details-Products'!$D$7:$D$100000,$B22,'Details-Products'!$BL$7:$BL$100000,AR$10)</f>
        <v>0</v>
      </c>
      <c r="AS22" s="292">
        <f>COUNTIFS('Details-Products'!$C$7:$C$100000,$C22,'Details-Products'!$D$7:$D$100000,$B22,'Details-Products'!$BL$7:$BL$100000,AS$10,'Details-Products'!$X$7:$X$100000,"YES")</f>
        <v>0</v>
      </c>
      <c r="AT22" s="360">
        <f>SUMIFS('Details-Products'!$Z$7:$Z$100000,'Details-Products'!$C$7:$C$100000,$C22,'Details-Products'!$D$7:$D$100000,$B22,'Details-Products'!$BL$7:$BL$100000,AT$10,'Details-Products'!$X$7:$X$100000,"YES")</f>
        <v>0</v>
      </c>
      <c r="AU22" s="292">
        <f>COUNTIFS('Details-Products'!$C$7:$C$100000,$C22,'Details-Products'!$D$7:$D$100000,$B22,'Details-Products'!$BL$7:$BL$100000,AU$10)</f>
        <v>0</v>
      </c>
      <c r="AV22" s="292">
        <f>COUNTIFS('Details-Products'!$C$7:$C$100000,$C22,'Details-Products'!$D$7:$D$100000,$B22,'Details-Products'!$BL$7:$BL$100000,AV$10,'Details-Products'!$X$7:$X$100000,"YES")</f>
        <v>0</v>
      </c>
      <c r="AW22" s="360">
        <f>SUMIFS('Details-Products'!$Z$7:$Z$100000,'Details-Products'!$C$7:$C$100000,$C22,'Details-Products'!$D$7:$D$100000,$B22,'Details-Products'!$BL$7:$BL$100000,AW$10,'Details-Products'!$X$7:$X$100000,"YES")</f>
        <v>0</v>
      </c>
      <c r="AX22" s="291">
        <f>COUNTIFS('Details-Products'!$C$7:$C$100000,$C22,'Details-Products'!$D$7:$D$100000,$B22,'Details-Products'!$BL$7:$BL$100000,AX$10)</f>
        <v>0</v>
      </c>
      <c r="AY22" s="292">
        <f>COUNTIFS('Details-Products'!$C$7:$C$100000,$C22,'Details-Products'!$D$7:$D$100000,$B22,'Details-Products'!$BL$7:$BL$100000,AY$10,'Details-Products'!$X$7:$X$100000,"YES")</f>
        <v>0</v>
      </c>
      <c r="AZ22" s="360">
        <f>SUMIFS('Details-Products'!$Z$7:$Z$100000,'Details-Products'!$C$7:$C$100000,$C22,'Details-Products'!$D$7:$D$100000,$B22,'Details-Products'!$BL$7:$BL$100000,AZ$10,'Details-Products'!$X$7:$X$100000,"YES")</f>
        <v>0</v>
      </c>
      <c r="BA22" s="291">
        <f>COUNTIFS('Details-Products'!$C$7:$C$100000,$C22,'Details-Products'!$D$7:$D$100000,$B22,'Details-Products'!$BL$7:$BL$100000,BA$10)</f>
        <v>0</v>
      </c>
      <c r="BB22" s="292">
        <f>COUNTIFS('Details-Products'!$C$7:$C$100000,$C22,'Details-Products'!$D$7:$D$100000,$B22,'Details-Products'!$BL$7:$BL$100000,BB$10,'Details-Products'!$X$7:$X$100000,"YES")</f>
        <v>0</v>
      </c>
      <c r="BC22" s="360">
        <f>SUMIFS('Details-Products'!$Z$7:$Z$100000,'Details-Products'!$C$7:$C$100000,$C22,'Details-Products'!$D$7:$D$100000,$B22,'Details-Products'!$BL$7:$BL$100000,BC$10,'Details-Products'!$X$7:$X$100000,"YES")</f>
        <v>0</v>
      </c>
      <c r="BD22" s="294">
        <f>COUNTIFS('Details-Products'!$C$7:$C$100000,$C22,'Details-Products'!$D$7:$D$100000,$B22,'Details-Products'!$BL$7:$BL$100000,BD$10)</f>
        <v>0</v>
      </c>
      <c r="BE22" s="292">
        <f>COUNTIFS('Details-Products'!$C$7:$C$100000,$C22,'Details-Products'!$D$7:$D$100000,$B22,'Details-Products'!$BL$7:$BL$100000,BE$10,'Details-Products'!$X$7:$X$100000,"YES")</f>
        <v>0</v>
      </c>
      <c r="BF22" s="360">
        <f>SUMIFS('Details-Products'!$Z$7:$Z$100000,'Details-Products'!$C$7:$C$100000,$C22,'Details-Products'!$D$7:$D$100000,$B22,'Details-Products'!$BL$7:$BL$100000,BF$10,'Details-Products'!$X$7:$X$100000,"YES")</f>
        <v>0</v>
      </c>
      <c r="BG22" s="292">
        <f t="shared" si="16"/>
        <v>0</v>
      </c>
      <c r="BH22" s="292">
        <f t="shared" si="17"/>
        <v>0</v>
      </c>
      <c r="BI22" s="360">
        <f t="shared" si="18"/>
        <v>0</v>
      </c>
      <c r="BJ22" s="240"/>
    </row>
    <row r="23" spans="1:62" ht="15" x14ac:dyDescent="0.2">
      <c r="B23" s="41">
        <v>14</v>
      </c>
      <c r="C23" s="41">
        <v>2</v>
      </c>
      <c r="D23" s="200" t="s">
        <v>264</v>
      </c>
      <c r="E23" s="295">
        <f>COUNTIFS('Details-Products'!$C$7:$C$100000,$C23,'Details-Products'!$D$7:$D$100000,$B23,'Details-Products'!$BL$7:$BL$100000,E$10)</f>
        <v>0</v>
      </c>
      <c r="F23" s="296">
        <f>COUNTIFS('Details-Products'!$C$7:$C$100000,$C23,'Details-Products'!$D$7:$D$100000,$B23,'Details-Products'!$BL$7:$BL$100000,F$10,'Details-Products'!$X$7:$X$100000,"YES")</f>
        <v>0</v>
      </c>
      <c r="G23" s="359">
        <f>SUMIFS('Details-Products'!$Z$7:$Z$100000,'Details-Products'!$C$7:$C$100000,$C23,'Details-Products'!$D$7:$D$100000,$B23,'Details-Products'!$BL$7:$BL$100000,G$10,'Details-Products'!$X$7:$X$100000,"YES")</f>
        <v>0</v>
      </c>
      <c r="H23" s="295">
        <f>COUNTIFS('Details-Products'!$C$7:$C$100000,$C23,'Details-Products'!$D$7:$D$100000,$B23,'Details-Products'!$BL$7:$BL$100000,H$10)</f>
        <v>0</v>
      </c>
      <c r="I23" s="296">
        <f>COUNTIFS('Details-Products'!$C$7:$C$100000,$C23,'Details-Products'!$D$7:$D$100000,$B23,'Details-Products'!$BL$7:$BL$100000,I$10,'Details-Products'!$X$7:$X$100000,"YES")</f>
        <v>0</v>
      </c>
      <c r="J23" s="359">
        <f>SUMIFS('Details-Products'!$Z$7:$Z$100000,'Details-Products'!$C$7:$C$100000,$C23,'Details-Products'!$D$7:$D$100000,$B23,'Details-Products'!$BL$7:$BL$100000,J$10,'Details-Products'!$X$7:$X$100000,"YES")</f>
        <v>0</v>
      </c>
      <c r="K23" s="295">
        <f>COUNTIFS('Details-Products'!$C$7:$C$100000,$C23,'Details-Products'!$D$7:$D$100000,$B23,'Details-Products'!$BL$7:$BL$100000,K$10)</f>
        <v>0</v>
      </c>
      <c r="L23" s="296">
        <f>COUNTIFS('Details-Products'!$C$7:$C$100000,$C23,'Details-Products'!$D$7:$D$100000,$B23,'Details-Products'!$BL$7:$BL$100000,L$10,'Details-Products'!$X$7:$X$100000,"YES")</f>
        <v>0</v>
      </c>
      <c r="M23" s="359">
        <f>SUMIFS('Details-Products'!$Z$7:$Z$100000,'Details-Products'!$C$7:$C$100000,$C23,'Details-Products'!$D$7:$D$100000,$B23,'Details-Products'!$BL$7:$BL$100000,M$10,'Details-Products'!$X$7:$X$100000,"YES")</f>
        <v>0</v>
      </c>
      <c r="N23" s="466">
        <f t="shared" si="1"/>
        <v>0</v>
      </c>
      <c r="O23" s="301">
        <f t="shared" si="2"/>
        <v>0</v>
      </c>
      <c r="P23" s="353">
        <f t="shared" si="3"/>
        <v>0</v>
      </c>
      <c r="Q23" s="353">
        <f>VLOOKUP(B23,Ttl_Inv!A:E,4,FALSE)</f>
        <v>0</v>
      </c>
      <c r="R23" s="329" t="e">
        <f t="shared" si="4"/>
        <v>#DIV/0!</v>
      </c>
      <c r="S23" s="359">
        <f>SUMIFS('Additional Color Sizes Report'!$R:$R,'Additional Color Sizes Report'!$B:$B,$B23)</f>
        <v>0</v>
      </c>
      <c r="T23" s="335" t="e">
        <f t="shared" si="5"/>
        <v>#DIV/0!</v>
      </c>
      <c r="U23" s="359">
        <f t="shared" si="6"/>
        <v>0</v>
      </c>
      <c r="V23" s="321" t="e">
        <f t="shared" si="7"/>
        <v>#DIV/0!</v>
      </c>
      <c r="W23" s="295">
        <f t="shared" si="8"/>
        <v>0</v>
      </c>
      <c r="X23" s="296">
        <f t="shared" si="9"/>
        <v>0</v>
      </c>
      <c r="Y23" s="359">
        <f t="shared" si="10"/>
        <v>0</v>
      </c>
      <c r="Z23" s="295">
        <f>COUNTIFS('Details-Products'!$C$7:$C$100000,$C23,'Details-Products'!$D$7:$D$100000,$B23,'Details-Products'!$BL$7:$BL$100000,Z$10)</f>
        <v>0</v>
      </c>
      <c r="AA23" s="295">
        <f>COUNTIFS('Details-Products'!$C$7:$C$100000,$C23,'Details-Products'!$D$7:$D$100000,$B23,'Details-Products'!$BL$7:$BL$100000,AA$10,'Details-Products'!$X$7:$X$100000,"YES")</f>
        <v>0</v>
      </c>
      <c r="AB23" s="359">
        <f>SUMIFS('Details-Products'!$Z$7:$Z$100000,'Details-Products'!$C$7:$C$100000,$C23,'Details-Products'!$D$7:$D$100000,$B23,'Details-Products'!$BL$7:$BL$100000,AB$10,'Details-Products'!$X$7:$X$100000,"YES")</f>
        <v>0</v>
      </c>
      <c r="AC23" s="295">
        <f>COUNTIFS('Details-Products'!$C$7:$C$100000,$C23,'Details-Products'!$D$7:$D$100000,$B23,'Details-Products'!$BL$7:$BL$100000,AC$10)</f>
        <v>0</v>
      </c>
      <c r="AD23" s="296">
        <f>COUNTIFS('Details-Products'!$C$7:$C$100000,$C23,'Details-Products'!$D$7:$D$100000,$B23,'Details-Products'!$BL$7:$BL$100000,AD$10,'Details-Products'!$X$7:$X$100000,"YES")</f>
        <v>0</v>
      </c>
      <c r="AE23" s="359">
        <f>SUMIFS('Details-Products'!$Z$7:$Z$100000,'Details-Products'!$C$7:$C$100000,$C23,'Details-Products'!$D$7:$D$100000,$B23,'Details-Products'!$BL$7:$BL$100000,AE$10,'Details-Products'!$X$7:$X$100000,"YES")</f>
        <v>0</v>
      </c>
      <c r="AF23" s="295">
        <f>COUNTIFS('Details-Products'!$C$7:$C$100000,$C23,'Details-Products'!$D$7:$D$100000,$B23,'Details-Products'!$BL$7:$BL$100000,AF$10)</f>
        <v>0</v>
      </c>
      <c r="AG23" s="296">
        <f>COUNTIFS('Details-Products'!$C$7:$C$100000,$C23,'Details-Products'!$D$7:$D$100000,$B23,'Details-Products'!$BL$7:$BL$100000,AG$10,'Details-Products'!$X$7:$X$100000,"YES")</f>
        <v>0</v>
      </c>
      <c r="AH23" s="359">
        <f>SUMIFS('Details-Products'!$Z$7:$Z$100000,'Details-Products'!$C$7:$C$100000,$C23,'Details-Products'!$D$7:$D$100000,$B23,'Details-Products'!$BL$7:$BL$100000,AH$10,'Details-Products'!$X$7:$X$100000,"YES")</f>
        <v>0</v>
      </c>
      <c r="AI23" s="295">
        <f>COUNTIFS('Details-Products'!$C$7:$C$100000,$C23,'Details-Products'!$D$7:$D$100000,$B23,'Details-Products'!$BL$7:$BL$100000,AI$10)</f>
        <v>0</v>
      </c>
      <c r="AJ23" s="296">
        <f>COUNTIFS('Details-Products'!$C$7:$C$100000,$C23,'Details-Products'!$D$7:$D$100000,$B23,'Details-Products'!$BL$7:$BL$100000,AJ$10,'Details-Products'!$X$7:$X$100000,"YES")</f>
        <v>0</v>
      </c>
      <c r="AK23" s="359">
        <f>SUMIFS('Details-Products'!$Z$7:$Z$100000,'Details-Products'!$C$7:$C$100000,$C23,'Details-Products'!$D$7:$D$100000,$B23,'Details-Products'!$BL$7:$BL$100000,AK$10,'Details-Products'!$X$7:$X$100000,"YES")</f>
        <v>0</v>
      </c>
      <c r="AL23" s="295">
        <f t="shared" si="12"/>
        <v>0</v>
      </c>
      <c r="AM23" s="296">
        <f t="shared" si="13"/>
        <v>0</v>
      </c>
      <c r="AN23" s="359">
        <f t="shared" si="14"/>
        <v>0</v>
      </c>
      <c r="AO23" s="296">
        <f>COUNTIFS('Details-Products'!$C$7:$C$100000,$C23,'Details-Products'!$D$7:$D$100000,$B23,'Details-Products'!$BL$7:$BL$100000,AO$10)</f>
        <v>0</v>
      </c>
      <c r="AP23" s="296">
        <f>COUNTIFS('Details-Products'!$C$7:$C$100000,$C23,'Details-Products'!$D$7:$D$100000,$B23,'Details-Products'!$BL$7:$BL$100000,AP$10,'Details-Products'!$X$7:$X$100000,"YES")</f>
        <v>0</v>
      </c>
      <c r="AQ23" s="359">
        <f>SUMIFS('Details-Products'!$Z$7:$Z$100000,'Details-Products'!$C$7:$C$100000,$C23,'Details-Products'!$D$7:$D$100000,$B23,'Details-Products'!$BL$7:$BL$100000,AQ$10,'Details-Products'!$X$7:$X$100000,"YES")</f>
        <v>0</v>
      </c>
      <c r="AR23" s="296">
        <f>COUNTIFS('Details-Products'!$C$7:$C$100000,$C23,'Details-Products'!$D$7:$D$100000,$B23,'Details-Products'!$BL$7:$BL$100000,AR$10)</f>
        <v>0</v>
      </c>
      <c r="AS23" s="296">
        <f>COUNTIFS('Details-Products'!$C$7:$C$100000,$C23,'Details-Products'!$D$7:$D$100000,$B23,'Details-Products'!$BL$7:$BL$100000,AS$10,'Details-Products'!$X$7:$X$100000,"YES")</f>
        <v>0</v>
      </c>
      <c r="AT23" s="359">
        <f>SUMIFS('Details-Products'!$Z$7:$Z$100000,'Details-Products'!$C$7:$C$100000,$C23,'Details-Products'!$D$7:$D$100000,$B23,'Details-Products'!$BL$7:$BL$100000,AT$10,'Details-Products'!$X$7:$X$100000,"YES")</f>
        <v>0</v>
      </c>
      <c r="AU23" s="296">
        <f>COUNTIFS('Details-Products'!$C$7:$C$100000,$C23,'Details-Products'!$D$7:$D$100000,$B23,'Details-Products'!$BL$7:$BL$100000,AU$10)</f>
        <v>0</v>
      </c>
      <c r="AV23" s="296">
        <f>COUNTIFS('Details-Products'!$C$7:$C$100000,$C23,'Details-Products'!$D$7:$D$100000,$B23,'Details-Products'!$BL$7:$BL$100000,AV$10,'Details-Products'!$X$7:$X$100000,"YES")</f>
        <v>0</v>
      </c>
      <c r="AW23" s="359">
        <f>SUMIFS('Details-Products'!$Z$7:$Z$100000,'Details-Products'!$C$7:$C$100000,$C23,'Details-Products'!$D$7:$D$100000,$B23,'Details-Products'!$BL$7:$BL$100000,AW$10,'Details-Products'!$X$7:$X$100000,"YES")</f>
        <v>0</v>
      </c>
      <c r="AX23" s="295">
        <f>COUNTIFS('Details-Products'!$C$7:$C$100000,$C23,'Details-Products'!$D$7:$D$100000,$B23,'Details-Products'!$BL$7:$BL$100000,AX$10)</f>
        <v>0</v>
      </c>
      <c r="AY23" s="296">
        <f>COUNTIFS('Details-Products'!$C$7:$C$100000,$C23,'Details-Products'!$D$7:$D$100000,$B23,'Details-Products'!$BL$7:$BL$100000,AY$10,'Details-Products'!$X$7:$X$100000,"YES")</f>
        <v>0</v>
      </c>
      <c r="AZ23" s="359">
        <f>SUMIFS('Details-Products'!$Z$7:$Z$100000,'Details-Products'!$C$7:$C$100000,$C23,'Details-Products'!$D$7:$D$100000,$B23,'Details-Products'!$BL$7:$BL$100000,AZ$10,'Details-Products'!$X$7:$X$100000,"YES")</f>
        <v>0</v>
      </c>
      <c r="BA23" s="295">
        <f>COUNTIFS('Details-Products'!$C$7:$C$100000,$C23,'Details-Products'!$D$7:$D$100000,$B23,'Details-Products'!$BL$7:$BL$100000,BA$10)</f>
        <v>0</v>
      </c>
      <c r="BB23" s="296">
        <f>COUNTIFS('Details-Products'!$C$7:$C$100000,$C23,'Details-Products'!$D$7:$D$100000,$B23,'Details-Products'!$BL$7:$BL$100000,BB$10,'Details-Products'!$X$7:$X$100000,"YES")</f>
        <v>0</v>
      </c>
      <c r="BC23" s="359">
        <f>SUMIFS('Details-Products'!$Z$7:$Z$100000,'Details-Products'!$C$7:$C$100000,$C23,'Details-Products'!$D$7:$D$100000,$B23,'Details-Products'!$BL$7:$BL$100000,BC$10,'Details-Products'!$X$7:$X$100000,"YES")</f>
        <v>0</v>
      </c>
      <c r="BD23" s="298">
        <f>COUNTIFS('Details-Products'!$C$7:$C$100000,$C23,'Details-Products'!$D$7:$D$100000,$B23,'Details-Products'!$BL$7:$BL$100000,BD$10)</f>
        <v>0</v>
      </c>
      <c r="BE23" s="296">
        <f>COUNTIFS('Details-Products'!$C$7:$C$100000,$C23,'Details-Products'!$D$7:$D$100000,$B23,'Details-Products'!$BL$7:$BL$100000,BE$10,'Details-Products'!$X$7:$X$100000,"YES")</f>
        <v>0</v>
      </c>
      <c r="BF23" s="359">
        <f>SUMIFS('Details-Products'!$Z$7:$Z$100000,'Details-Products'!$C$7:$C$100000,$C23,'Details-Products'!$D$7:$D$100000,$B23,'Details-Products'!$BL$7:$BL$100000,BF$10,'Details-Products'!$X$7:$X$100000,"YES")</f>
        <v>0</v>
      </c>
      <c r="BG23" s="296">
        <f t="shared" si="16"/>
        <v>0</v>
      </c>
      <c r="BH23" s="296">
        <f t="shared" si="17"/>
        <v>0</v>
      </c>
      <c r="BI23" s="359">
        <f t="shared" si="18"/>
        <v>0</v>
      </c>
      <c r="BJ23" s="240"/>
    </row>
    <row r="24" spans="1:62" s="39" customFormat="1" ht="15" x14ac:dyDescent="0.2">
      <c r="B24" s="41">
        <v>15</v>
      </c>
      <c r="C24" s="41">
        <v>2</v>
      </c>
      <c r="D24" s="199" t="s">
        <v>265</v>
      </c>
      <c r="E24" s="291">
        <f>COUNTIFS('Details-Products'!$C$7:$C$100000,$C24,'Details-Products'!$D$7:$D$100000,$B24,'Details-Products'!$BL$7:$BL$100000,E$10)</f>
        <v>0</v>
      </c>
      <c r="F24" s="292">
        <f>COUNTIFS('Details-Products'!$C$7:$C$100000,$C24,'Details-Products'!$D$7:$D$100000,$B24,'Details-Products'!$BL$7:$BL$100000,F$10,'Details-Products'!$X$7:$X$100000,"YES")</f>
        <v>0</v>
      </c>
      <c r="G24" s="360">
        <f>SUMIFS('Details-Products'!$Z$7:$Z$100000,'Details-Products'!$C$7:$C$100000,$C24,'Details-Products'!$D$7:$D$100000,$B24,'Details-Products'!$BL$7:$BL$100000,G$10,'Details-Products'!$X$7:$X$100000,"YES")</f>
        <v>0</v>
      </c>
      <c r="H24" s="291">
        <f>COUNTIFS('Details-Products'!$C$7:$C$100000,$C24,'Details-Products'!$D$7:$D$100000,$B24,'Details-Products'!$BL$7:$BL$100000,H$10)</f>
        <v>0</v>
      </c>
      <c r="I24" s="292">
        <f>COUNTIFS('Details-Products'!$C$7:$C$100000,$C24,'Details-Products'!$D$7:$D$100000,$B24,'Details-Products'!$BL$7:$BL$100000,I$10,'Details-Products'!$X$7:$X$100000,"YES")</f>
        <v>0</v>
      </c>
      <c r="J24" s="360">
        <f>SUMIFS('Details-Products'!$Z$7:$Z$100000,'Details-Products'!$C$7:$C$100000,$C24,'Details-Products'!$D$7:$D$100000,$B24,'Details-Products'!$BL$7:$BL$100000,J$10,'Details-Products'!$X$7:$X$100000,"YES")</f>
        <v>0</v>
      </c>
      <c r="K24" s="291">
        <f>COUNTIFS('Details-Products'!$C$7:$C$100000,$C24,'Details-Products'!$D$7:$D$100000,$B24,'Details-Products'!$BL$7:$BL$100000,K$10)</f>
        <v>0</v>
      </c>
      <c r="L24" s="292">
        <f>COUNTIFS('Details-Products'!$C$7:$C$100000,$C24,'Details-Products'!$D$7:$D$100000,$B24,'Details-Products'!$BL$7:$BL$100000,L$10,'Details-Products'!$X$7:$X$100000,"YES")</f>
        <v>0</v>
      </c>
      <c r="M24" s="360">
        <f>SUMIFS('Details-Products'!$Z$7:$Z$100000,'Details-Products'!$C$7:$C$100000,$C24,'Details-Products'!$D$7:$D$100000,$B24,'Details-Products'!$BL$7:$BL$100000,M$10,'Details-Products'!$X$7:$X$100000,"YES")</f>
        <v>0</v>
      </c>
      <c r="N24" s="467">
        <f t="shared" si="1"/>
        <v>0</v>
      </c>
      <c r="O24" s="300">
        <f t="shared" si="2"/>
        <v>0</v>
      </c>
      <c r="P24" s="352">
        <f t="shared" si="3"/>
        <v>0</v>
      </c>
      <c r="Q24" s="352">
        <f>VLOOKUP(B24,Ttl_Inv!A:E,4,FALSE)</f>
        <v>0</v>
      </c>
      <c r="R24" s="326" t="e">
        <f t="shared" si="4"/>
        <v>#DIV/0!</v>
      </c>
      <c r="S24" s="360">
        <f>SUMIFS('Additional Color Sizes Report'!$R:$R,'Additional Color Sizes Report'!$B:$B,$B24)</f>
        <v>0</v>
      </c>
      <c r="T24" s="336" t="e">
        <f t="shared" si="5"/>
        <v>#DIV/0!</v>
      </c>
      <c r="U24" s="360">
        <f t="shared" si="6"/>
        <v>0</v>
      </c>
      <c r="V24" s="322" t="e">
        <f t="shared" si="7"/>
        <v>#DIV/0!</v>
      </c>
      <c r="W24" s="291">
        <f t="shared" si="8"/>
        <v>0</v>
      </c>
      <c r="X24" s="292">
        <f t="shared" si="9"/>
        <v>0</v>
      </c>
      <c r="Y24" s="360">
        <f t="shared" si="10"/>
        <v>0</v>
      </c>
      <c r="Z24" s="291">
        <f>COUNTIFS('Details-Products'!$C$7:$C$100000,$C24,'Details-Products'!$D$7:$D$100000,$B24,'Details-Products'!$BL$7:$BL$100000,Z$10)</f>
        <v>0</v>
      </c>
      <c r="AA24" s="291">
        <f>COUNTIFS('Details-Products'!$C$7:$C$100000,$C24,'Details-Products'!$D$7:$D$100000,$B24,'Details-Products'!$BL$7:$BL$100000,AA$10,'Details-Products'!$X$7:$X$100000,"YES")</f>
        <v>0</v>
      </c>
      <c r="AB24" s="360">
        <f>SUMIFS('Details-Products'!$Z$7:$Z$100000,'Details-Products'!$C$7:$C$100000,$C24,'Details-Products'!$D$7:$D$100000,$B24,'Details-Products'!$BL$7:$BL$100000,AB$10,'Details-Products'!$X$7:$X$100000,"YES")</f>
        <v>0</v>
      </c>
      <c r="AC24" s="291">
        <f>COUNTIFS('Details-Products'!$C$7:$C$100000,$C24,'Details-Products'!$D$7:$D$100000,$B24,'Details-Products'!$BL$7:$BL$100000,AC$10)</f>
        <v>0</v>
      </c>
      <c r="AD24" s="292">
        <f>COUNTIFS('Details-Products'!$C$7:$C$100000,$C24,'Details-Products'!$D$7:$D$100000,$B24,'Details-Products'!$BL$7:$BL$100000,AD$10,'Details-Products'!$X$7:$X$100000,"YES")</f>
        <v>0</v>
      </c>
      <c r="AE24" s="360">
        <f>SUMIFS('Details-Products'!$Z$7:$Z$100000,'Details-Products'!$C$7:$C$100000,$C24,'Details-Products'!$D$7:$D$100000,$B24,'Details-Products'!$BL$7:$BL$100000,AE$10,'Details-Products'!$X$7:$X$100000,"YES")</f>
        <v>0</v>
      </c>
      <c r="AF24" s="291">
        <f>COUNTIFS('Details-Products'!$C$7:$C$100000,$C24,'Details-Products'!$D$7:$D$100000,$B24,'Details-Products'!$BL$7:$BL$100000,AF$10)</f>
        <v>0</v>
      </c>
      <c r="AG24" s="292">
        <f>COUNTIFS('Details-Products'!$C$7:$C$100000,$C24,'Details-Products'!$D$7:$D$100000,$B24,'Details-Products'!$BL$7:$BL$100000,AG$10,'Details-Products'!$X$7:$X$100000,"YES")</f>
        <v>0</v>
      </c>
      <c r="AH24" s="360">
        <f>SUMIFS('Details-Products'!$Z$7:$Z$100000,'Details-Products'!$C$7:$C$100000,$C24,'Details-Products'!$D$7:$D$100000,$B24,'Details-Products'!$BL$7:$BL$100000,AH$10,'Details-Products'!$X$7:$X$100000,"YES")</f>
        <v>0</v>
      </c>
      <c r="AI24" s="291">
        <f>COUNTIFS('Details-Products'!$C$7:$C$100000,$C24,'Details-Products'!$D$7:$D$100000,$B24,'Details-Products'!$BL$7:$BL$100000,AI$10)</f>
        <v>0</v>
      </c>
      <c r="AJ24" s="292">
        <f>COUNTIFS('Details-Products'!$C$7:$C$100000,$C24,'Details-Products'!$D$7:$D$100000,$B24,'Details-Products'!$BL$7:$BL$100000,AJ$10,'Details-Products'!$X$7:$X$100000,"YES")</f>
        <v>0</v>
      </c>
      <c r="AK24" s="360">
        <f>SUMIFS('Details-Products'!$Z$7:$Z$100000,'Details-Products'!$C$7:$C$100000,$C24,'Details-Products'!$D$7:$D$100000,$B24,'Details-Products'!$BL$7:$BL$100000,AK$10,'Details-Products'!$X$7:$X$100000,"YES")</f>
        <v>0</v>
      </c>
      <c r="AL24" s="291">
        <f t="shared" si="12"/>
        <v>0</v>
      </c>
      <c r="AM24" s="292">
        <f t="shared" si="13"/>
        <v>0</v>
      </c>
      <c r="AN24" s="360">
        <f t="shared" si="14"/>
        <v>0</v>
      </c>
      <c r="AO24" s="292">
        <f>COUNTIFS('Details-Products'!$C$7:$C$100000,$C24,'Details-Products'!$D$7:$D$100000,$B24,'Details-Products'!$BL$7:$BL$100000,AO$10)</f>
        <v>0</v>
      </c>
      <c r="AP24" s="292">
        <f>COUNTIFS('Details-Products'!$C$7:$C$100000,$C24,'Details-Products'!$D$7:$D$100000,$B24,'Details-Products'!$BL$7:$BL$100000,AP$10,'Details-Products'!$X$7:$X$100000,"YES")</f>
        <v>0</v>
      </c>
      <c r="AQ24" s="360">
        <f>SUMIFS('Details-Products'!$Z$7:$Z$100000,'Details-Products'!$C$7:$C$100000,$C24,'Details-Products'!$D$7:$D$100000,$B24,'Details-Products'!$BL$7:$BL$100000,AQ$10,'Details-Products'!$X$7:$X$100000,"YES")</f>
        <v>0</v>
      </c>
      <c r="AR24" s="292">
        <f>COUNTIFS('Details-Products'!$C$7:$C$100000,$C24,'Details-Products'!$D$7:$D$100000,$B24,'Details-Products'!$BL$7:$BL$100000,AR$10)</f>
        <v>0</v>
      </c>
      <c r="AS24" s="292">
        <f>COUNTIFS('Details-Products'!$C$7:$C$100000,$C24,'Details-Products'!$D$7:$D$100000,$B24,'Details-Products'!$BL$7:$BL$100000,AS$10,'Details-Products'!$X$7:$X$100000,"YES")</f>
        <v>0</v>
      </c>
      <c r="AT24" s="360">
        <f>SUMIFS('Details-Products'!$Z$7:$Z$100000,'Details-Products'!$C$7:$C$100000,$C24,'Details-Products'!$D$7:$D$100000,$B24,'Details-Products'!$BL$7:$BL$100000,AT$10,'Details-Products'!$X$7:$X$100000,"YES")</f>
        <v>0</v>
      </c>
      <c r="AU24" s="292">
        <f>COUNTIFS('Details-Products'!$C$7:$C$100000,$C24,'Details-Products'!$D$7:$D$100000,$B24,'Details-Products'!$BL$7:$BL$100000,AU$10)</f>
        <v>0</v>
      </c>
      <c r="AV24" s="292">
        <f>COUNTIFS('Details-Products'!$C$7:$C$100000,$C24,'Details-Products'!$D$7:$D$100000,$B24,'Details-Products'!$BL$7:$BL$100000,AV$10,'Details-Products'!$X$7:$X$100000,"YES")</f>
        <v>0</v>
      </c>
      <c r="AW24" s="360">
        <f>SUMIFS('Details-Products'!$Z$7:$Z$100000,'Details-Products'!$C$7:$C$100000,$C24,'Details-Products'!$D$7:$D$100000,$B24,'Details-Products'!$BL$7:$BL$100000,AW$10,'Details-Products'!$X$7:$X$100000,"YES")</f>
        <v>0</v>
      </c>
      <c r="AX24" s="291">
        <f>COUNTIFS('Details-Products'!$C$7:$C$100000,$C24,'Details-Products'!$D$7:$D$100000,$B24,'Details-Products'!$BL$7:$BL$100000,AX$10)</f>
        <v>0</v>
      </c>
      <c r="AY24" s="292">
        <f>COUNTIFS('Details-Products'!$C$7:$C$100000,$C24,'Details-Products'!$D$7:$D$100000,$B24,'Details-Products'!$BL$7:$BL$100000,AY$10,'Details-Products'!$X$7:$X$100000,"YES")</f>
        <v>0</v>
      </c>
      <c r="AZ24" s="360">
        <f>SUMIFS('Details-Products'!$Z$7:$Z$100000,'Details-Products'!$C$7:$C$100000,$C24,'Details-Products'!$D$7:$D$100000,$B24,'Details-Products'!$BL$7:$BL$100000,AZ$10,'Details-Products'!$X$7:$X$100000,"YES")</f>
        <v>0</v>
      </c>
      <c r="BA24" s="291">
        <f>COUNTIFS('Details-Products'!$C$7:$C$100000,$C24,'Details-Products'!$D$7:$D$100000,$B24,'Details-Products'!$BL$7:$BL$100000,BA$10)</f>
        <v>0</v>
      </c>
      <c r="BB24" s="292">
        <f>COUNTIFS('Details-Products'!$C$7:$C$100000,$C24,'Details-Products'!$D$7:$D$100000,$B24,'Details-Products'!$BL$7:$BL$100000,BB$10,'Details-Products'!$X$7:$X$100000,"YES")</f>
        <v>0</v>
      </c>
      <c r="BC24" s="360">
        <f>SUMIFS('Details-Products'!$Z$7:$Z$100000,'Details-Products'!$C$7:$C$100000,$C24,'Details-Products'!$D$7:$D$100000,$B24,'Details-Products'!$BL$7:$BL$100000,BC$10,'Details-Products'!$X$7:$X$100000,"YES")</f>
        <v>0</v>
      </c>
      <c r="BD24" s="294">
        <f>COUNTIFS('Details-Products'!$C$7:$C$100000,$C24,'Details-Products'!$D$7:$D$100000,$B24,'Details-Products'!$BL$7:$BL$100000,BD$10)</f>
        <v>0</v>
      </c>
      <c r="BE24" s="292">
        <f>COUNTIFS('Details-Products'!$C$7:$C$100000,$C24,'Details-Products'!$D$7:$D$100000,$B24,'Details-Products'!$BL$7:$BL$100000,BE$10,'Details-Products'!$X$7:$X$100000,"YES")</f>
        <v>0</v>
      </c>
      <c r="BF24" s="360">
        <f>SUMIFS('Details-Products'!$Z$7:$Z$100000,'Details-Products'!$C$7:$C$100000,$C24,'Details-Products'!$D$7:$D$100000,$B24,'Details-Products'!$BL$7:$BL$100000,BF$10,'Details-Products'!$X$7:$X$100000,"YES")</f>
        <v>0</v>
      </c>
      <c r="BG24" s="292">
        <f t="shared" si="16"/>
        <v>0</v>
      </c>
      <c r="BH24" s="292">
        <f t="shared" si="17"/>
        <v>0</v>
      </c>
      <c r="BI24" s="360">
        <f t="shared" si="18"/>
        <v>0</v>
      </c>
      <c r="BJ24" s="238"/>
    </row>
    <row r="25" spans="1:62" s="39" customFormat="1" ht="15" x14ac:dyDescent="0.2">
      <c r="B25" s="41">
        <v>60</v>
      </c>
      <c r="C25" s="41">
        <v>2</v>
      </c>
      <c r="D25" s="200" t="s">
        <v>266</v>
      </c>
      <c r="E25" s="295">
        <f>COUNTIFS('Details-Products'!$C$7:$C$100000,$C25,'Details-Products'!$D$7:$D$100000,$B25,'Details-Products'!$BL$7:$BL$100000,E$10)</f>
        <v>0</v>
      </c>
      <c r="F25" s="296">
        <f>COUNTIFS('Details-Products'!$C$7:$C$100000,$C25,'Details-Products'!$D$7:$D$100000,$B25,'Details-Products'!$BL$7:$BL$100000,F$10,'Details-Products'!$X$7:$X$100000,"YES")</f>
        <v>0</v>
      </c>
      <c r="G25" s="359">
        <f>SUMIFS('Details-Products'!$Z$7:$Z$100000,'Details-Products'!$C$7:$C$100000,$C25,'Details-Products'!$D$7:$D$100000,$B25,'Details-Products'!$BL$7:$BL$100000,G$10,'Details-Products'!$X$7:$X$100000,"YES")</f>
        <v>0</v>
      </c>
      <c r="H25" s="295">
        <f>COUNTIFS('Details-Products'!$C$7:$C$100000,$C25,'Details-Products'!$D$7:$D$100000,$B25,'Details-Products'!$BL$7:$BL$100000,H$10)</f>
        <v>0</v>
      </c>
      <c r="I25" s="296">
        <f>COUNTIFS('Details-Products'!$C$7:$C$100000,$C25,'Details-Products'!$D$7:$D$100000,$B25,'Details-Products'!$BL$7:$BL$100000,I$10,'Details-Products'!$X$7:$X$100000,"YES")</f>
        <v>0</v>
      </c>
      <c r="J25" s="359">
        <f>SUMIFS('Details-Products'!$Z$7:$Z$100000,'Details-Products'!$C$7:$C$100000,$C25,'Details-Products'!$D$7:$D$100000,$B25,'Details-Products'!$BL$7:$BL$100000,J$10,'Details-Products'!$X$7:$X$100000,"YES")</f>
        <v>0</v>
      </c>
      <c r="K25" s="295">
        <f>COUNTIFS('Details-Products'!$C$7:$C$100000,$C25,'Details-Products'!$D$7:$D$100000,$B25,'Details-Products'!$BL$7:$BL$100000,K$10)</f>
        <v>0</v>
      </c>
      <c r="L25" s="296">
        <f>COUNTIFS('Details-Products'!$C$7:$C$100000,$C25,'Details-Products'!$D$7:$D$100000,$B25,'Details-Products'!$BL$7:$BL$100000,L$10,'Details-Products'!$X$7:$X$100000,"YES")</f>
        <v>0</v>
      </c>
      <c r="M25" s="359">
        <f>SUMIFS('Details-Products'!$Z$7:$Z$100000,'Details-Products'!$C$7:$C$100000,$C25,'Details-Products'!$D$7:$D$100000,$B25,'Details-Products'!$BL$7:$BL$100000,M$10,'Details-Products'!$X$7:$X$100000,"YES")</f>
        <v>0</v>
      </c>
      <c r="N25" s="466">
        <f t="shared" si="1"/>
        <v>0</v>
      </c>
      <c r="O25" s="301">
        <f t="shared" si="2"/>
        <v>0</v>
      </c>
      <c r="P25" s="353">
        <f t="shared" si="3"/>
        <v>0</v>
      </c>
      <c r="Q25" s="353">
        <f>VLOOKUP(B25,Ttl_Inv!A:E,4,FALSE)</f>
        <v>0</v>
      </c>
      <c r="R25" s="329" t="e">
        <f t="shared" si="4"/>
        <v>#DIV/0!</v>
      </c>
      <c r="S25" s="359">
        <f>SUMIFS('Additional Color Sizes Report'!$R:$R,'Additional Color Sizes Report'!$B:$B,$B25)</f>
        <v>0</v>
      </c>
      <c r="T25" s="335" t="e">
        <f t="shared" si="5"/>
        <v>#DIV/0!</v>
      </c>
      <c r="U25" s="359">
        <f t="shared" si="6"/>
        <v>0</v>
      </c>
      <c r="V25" s="321" t="e">
        <f t="shared" si="7"/>
        <v>#DIV/0!</v>
      </c>
      <c r="W25" s="295">
        <f t="shared" si="8"/>
        <v>0</v>
      </c>
      <c r="X25" s="296">
        <f t="shared" si="9"/>
        <v>0</v>
      </c>
      <c r="Y25" s="359">
        <f t="shared" si="10"/>
        <v>0</v>
      </c>
      <c r="Z25" s="295">
        <f>COUNTIFS('Details-Products'!$C$7:$C$100000,$C25,'Details-Products'!$D$7:$D$100000,$B25,'Details-Products'!$BL$7:$BL$100000,Z$10)</f>
        <v>0</v>
      </c>
      <c r="AA25" s="295">
        <f>COUNTIFS('Details-Products'!$C$7:$C$100000,$C25,'Details-Products'!$D$7:$D$100000,$B25,'Details-Products'!$BL$7:$BL$100000,AA$10,'Details-Products'!$X$7:$X$100000,"YES")</f>
        <v>0</v>
      </c>
      <c r="AB25" s="359">
        <f>SUMIFS('Details-Products'!$Z$7:$Z$100000,'Details-Products'!$C$7:$C$100000,$C25,'Details-Products'!$D$7:$D$100000,$B25,'Details-Products'!$BL$7:$BL$100000,AB$10,'Details-Products'!$X$7:$X$100000,"YES")</f>
        <v>0</v>
      </c>
      <c r="AC25" s="295">
        <f>COUNTIFS('Details-Products'!$C$7:$C$100000,$C25,'Details-Products'!$D$7:$D$100000,$B25,'Details-Products'!$BL$7:$BL$100000,AC$10)</f>
        <v>0</v>
      </c>
      <c r="AD25" s="296">
        <f>COUNTIFS('Details-Products'!$C$7:$C$100000,$C25,'Details-Products'!$D$7:$D$100000,$B25,'Details-Products'!$BL$7:$BL$100000,AD$10,'Details-Products'!$X$7:$X$100000,"YES")</f>
        <v>0</v>
      </c>
      <c r="AE25" s="359">
        <f>SUMIFS('Details-Products'!$Z$7:$Z$100000,'Details-Products'!$C$7:$C$100000,$C25,'Details-Products'!$D$7:$D$100000,$B25,'Details-Products'!$BL$7:$BL$100000,AE$10,'Details-Products'!$X$7:$X$100000,"YES")</f>
        <v>0</v>
      </c>
      <c r="AF25" s="295">
        <f>COUNTIFS('Details-Products'!$C$7:$C$100000,$C25,'Details-Products'!$D$7:$D$100000,$B25,'Details-Products'!$BL$7:$BL$100000,AF$10)</f>
        <v>0</v>
      </c>
      <c r="AG25" s="296">
        <f>COUNTIFS('Details-Products'!$C$7:$C$100000,$C25,'Details-Products'!$D$7:$D$100000,$B25,'Details-Products'!$BL$7:$BL$100000,AG$10,'Details-Products'!$X$7:$X$100000,"YES")</f>
        <v>0</v>
      </c>
      <c r="AH25" s="359">
        <f>SUMIFS('Details-Products'!$Z$7:$Z$100000,'Details-Products'!$C$7:$C$100000,$C25,'Details-Products'!$D$7:$D$100000,$B25,'Details-Products'!$BL$7:$BL$100000,AH$10,'Details-Products'!$X$7:$X$100000,"YES")</f>
        <v>0</v>
      </c>
      <c r="AI25" s="295">
        <f>COUNTIFS('Details-Products'!$C$7:$C$100000,$C25,'Details-Products'!$D$7:$D$100000,$B25,'Details-Products'!$BL$7:$BL$100000,AI$10)</f>
        <v>0</v>
      </c>
      <c r="AJ25" s="296">
        <f>COUNTIFS('Details-Products'!$C$7:$C$100000,$C25,'Details-Products'!$D$7:$D$100000,$B25,'Details-Products'!$BL$7:$BL$100000,AJ$10,'Details-Products'!$X$7:$X$100000,"YES")</f>
        <v>0</v>
      </c>
      <c r="AK25" s="359">
        <f>SUMIFS('Details-Products'!$Z$7:$Z$100000,'Details-Products'!$C$7:$C$100000,$C25,'Details-Products'!$D$7:$D$100000,$B25,'Details-Products'!$BL$7:$BL$100000,AK$10,'Details-Products'!$X$7:$X$100000,"YES")</f>
        <v>0</v>
      </c>
      <c r="AL25" s="295">
        <f t="shared" si="12"/>
        <v>0</v>
      </c>
      <c r="AM25" s="296">
        <f t="shared" si="13"/>
        <v>0</v>
      </c>
      <c r="AN25" s="359">
        <f t="shared" si="14"/>
        <v>0</v>
      </c>
      <c r="AO25" s="296">
        <f>COUNTIFS('Details-Products'!$C$7:$C$100000,$C25,'Details-Products'!$D$7:$D$100000,$B25,'Details-Products'!$BL$7:$BL$100000,AO$10)</f>
        <v>0</v>
      </c>
      <c r="AP25" s="296">
        <f>COUNTIFS('Details-Products'!$C$7:$C$100000,$C25,'Details-Products'!$D$7:$D$100000,$B25,'Details-Products'!$BL$7:$BL$100000,AP$10,'Details-Products'!$X$7:$X$100000,"YES")</f>
        <v>0</v>
      </c>
      <c r="AQ25" s="359">
        <f>SUMIFS('Details-Products'!$Z$7:$Z$100000,'Details-Products'!$C$7:$C$100000,$C25,'Details-Products'!$D$7:$D$100000,$B25,'Details-Products'!$BL$7:$BL$100000,AQ$10,'Details-Products'!$X$7:$X$100000,"YES")</f>
        <v>0</v>
      </c>
      <c r="AR25" s="296">
        <f>COUNTIFS('Details-Products'!$C$7:$C$100000,$C25,'Details-Products'!$D$7:$D$100000,$B25,'Details-Products'!$BL$7:$BL$100000,AR$10)</f>
        <v>0</v>
      </c>
      <c r="AS25" s="296">
        <f>COUNTIFS('Details-Products'!$C$7:$C$100000,$C25,'Details-Products'!$D$7:$D$100000,$B25,'Details-Products'!$BL$7:$BL$100000,AS$10,'Details-Products'!$X$7:$X$100000,"YES")</f>
        <v>0</v>
      </c>
      <c r="AT25" s="359">
        <f>SUMIFS('Details-Products'!$Z$7:$Z$100000,'Details-Products'!$C$7:$C$100000,$C25,'Details-Products'!$D$7:$D$100000,$B25,'Details-Products'!$BL$7:$BL$100000,AT$10,'Details-Products'!$X$7:$X$100000,"YES")</f>
        <v>0</v>
      </c>
      <c r="AU25" s="296">
        <f>COUNTIFS('Details-Products'!$C$7:$C$100000,$C25,'Details-Products'!$D$7:$D$100000,$B25,'Details-Products'!$BL$7:$BL$100000,AU$10)</f>
        <v>0</v>
      </c>
      <c r="AV25" s="296">
        <f>COUNTIFS('Details-Products'!$C$7:$C$100000,$C25,'Details-Products'!$D$7:$D$100000,$B25,'Details-Products'!$BL$7:$BL$100000,AV$10,'Details-Products'!$X$7:$X$100000,"YES")</f>
        <v>0</v>
      </c>
      <c r="AW25" s="359">
        <f>SUMIFS('Details-Products'!$Z$7:$Z$100000,'Details-Products'!$C$7:$C$100000,$C25,'Details-Products'!$D$7:$D$100000,$B25,'Details-Products'!$BL$7:$BL$100000,AW$10,'Details-Products'!$X$7:$X$100000,"YES")</f>
        <v>0</v>
      </c>
      <c r="AX25" s="295">
        <f>COUNTIFS('Details-Products'!$C$7:$C$100000,$C25,'Details-Products'!$D$7:$D$100000,$B25,'Details-Products'!$BL$7:$BL$100000,AX$10)</f>
        <v>0</v>
      </c>
      <c r="AY25" s="296">
        <f>COUNTIFS('Details-Products'!$C$7:$C$100000,$C25,'Details-Products'!$D$7:$D$100000,$B25,'Details-Products'!$BL$7:$BL$100000,AY$10,'Details-Products'!$X$7:$X$100000,"YES")</f>
        <v>0</v>
      </c>
      <c r="AZ25" s="359">
        <f>SUMIFS('Details-Products'!$Z$7:$Z$100000,'Details-Products'!$C$7:$C$100000,$C25,'Details-Products'!$D$7:$D$100000,$B25,'Details-Products'!$BL$7:$BL$100000,AZ$10,'Details-Products'!$X$7:$X$100000,"YES")</f>
        <v>0</v>
      </c>
      <c r="BA25" s="295">
        <f>COUNTIFS('Details-Products'!$C$7:$C$100000,$C25,'Details-Products'!$D$7:$D$100000,$B25,'Details-Products'!$BL$7:$BL$100000,BA$10)</f>
        <v>0</v>
      </c>
      <c r="BB25" s="296">
        <f>COUNTIFS('Details-Products'!$C$7:$C$100000,$C25,'Details-Products'!$D$7:$D$100000,$B25,'Details-Products'!$BL$7:$BL$100000,BB$10,'Details-Products'!$X$7:$X$100000,"YES")</f>
        <v>0</v>
      </c>
      <c r="BC25" s="359">
        <f>SUMIFS('Details-Products'!$Z$7:$Z$100000,'Details-Products'!$C$7:$C$100000,$C25,'Details-Products'!$D$7:$D$100000,$B25,'Details-Products'!$BL$7:$BL$100000,BC$10,'Details-Products'!$X$7:$X$100000,"YES")</f>
        <v>0</v>
      </c>
      <c r="BD25" s="298">
        <f>COUNTIFS('Details-Products'!$C$7:$C$100000,$C25,'Details-Products'!$D$7:$D$100000,$B25,'Details-Products'!$BL$7:$BL$100000,BD$10)</f>
        <v>0</v>
      </c>
      <c r="BE25" s="296">
        <f>COUNTIFS('Details-Products'!$C$7:$C$100000,$C25,'Details-Products'!$D$7:$D$100000,$B25,'Details-Products'!$BL$7:$BL$100000,BE$10,'Details-Products'!$X$7:$X$100000,"YES")</f>
        <v>0</v>
      </c>
      <c r="BF25" s="359">
        <f>SUMIFS('Details-Products'!$Z$7:$Z$100000,'Details-Products'!$C$7:$C$100000,$C25,'Details-Products'!$D$7:$D$100000,$B25,'Details-Products'!$BL$7:$BL$100000,BF$10,'Details-Products'!$X$7:$X$100000,"YES")</f>
        <v>0</v>
      </c>
      <c r="BG25" s="296">
        <f t="shared" si="16"/>
        <v>0</v>
      </c>
      <c r="BH25" s="296">
        <f t="shared" si="17"/>
        <v>0</v>
      </c>
      <c r="BI25" s="359">
        <f t="shared" si="18"/>
        <v>0</v>
      </c>
      <c r="BJ25" s="238"/>
    </row>
    <row r="26" spans="1:62" ht="15" x14ac:dyDescent="0.2">
      <c r="B26" s="41">
        <v>8</v>
      </c>
      <c r="C26" s="41">
        <v>2</v>
      </c>
      <c r="D26" s="199" t="s">
        <v>267</v>
      </c>
      <c r="E26" s="291">
        <f>COUNTIFS('Details-Products'!$C$7:$C$100000,$C26,'Details-Products'!$D$7:$D$100000,$B26,'Details-Products'!$BL$7:$BL$100000,E$10)</f>
        <v>0</v>
      </c>
      <c r="F26" s="292">
        <f>COUNTIFS('Details-Products'!$C$7:$C$100000,$C26,'Details-Products'!$D$7:$D$100000,$B26,'Details-Products'!$BL$7:$BL$100000,F$10,'Details-Products'!$X$7:$X$100000,"YES")</f>
        <v>0</v>
      </c>
      <c r="G26" s="360">
        <f>SUMIFS('Details-Products'!$Z$7:$Z$100000,'Details-Products'!$C$7:$C$100000,$C26,'Details-Products'!$D$7:$D$100000,$B26,'Details-Products'!$BL$7:$BL$100000,G$10,'Details-Products'!$X$7:$X$100000,"YES")</f>
        <v>0</v>
      </c>
      <c r="H26" s="291">
        <f>COUNTIFS('Details-Products'!$C$7:$C$100000,$C26,'Details-Products'!$D$7:$D$100000,$B26,'Details-Products'!$BL$7:$BL$100000,H$10)</f>
        <v>0</v>
      </c>
      <c r="I26" s="292">
        <f>COUNTIFS('Details-Products'!$C$7:$C$100000,$C26,'Details-Products'!$D$7:$D$100000,$B26,'Details-Products'!$BL$7:$BL$100000,I$10,'Details-Products'!$X$7:$X$100000,"YES")</f>
        <v>0</v>
      </c>
      <c r="J26" s="360">
        <f>SUMIFS('Details-Products'!$Z$7:$Z$100000,'Details-Products'!$C$7:$C$100000,$C26,'Details-Products'!$D$7:$D$100000,$B26,'Details-Products'!$BL$7:$BL$100000,J$10,'Details-Products'!$X$7:$X$100000,"YES")</f>
        <v>0</v>
      </c>
      <c r="K26" s="291">
        <f>COUNTIFS('Details-Products'!$C$7:$C$100000,$C26,'Details-Products'!$D$7:$D$100000,$B26,'Details-Products'!$BL$7:$BL$100000,K$10)</f>
        <v>0</v>
      </c>
      <c r="L26" s="292">
        <f>COUNTIFS('Details-Products'!$C$7:$C$100000,$C26,'Details-Products'!$D$7:$D$100000,$B26,'Details-Products'!$BL$7:$BL$100000,L$10,'Details-Products'!$X$7:$X$100000,"YES")</f>
        <v>0</v>
      </c>
      <c r="M26" s="360">
        <f>SUMIFS('Details-Products'!$Z$7:$Z$100000,'Details-Products'!$C$7:$C$100000,$C26,'Details-Products'!$D$7:$D$100000,$B26,'Details-Products'!$BL$7:$BL$100000,M$10,'Details-Products'!$X$7:$X$100000,"YES")</f>
        <v>0</v>
      </c>
      <c r="N26" s="467">
        <f t="shared" si="1"/>
        <v>0</v>
      </c>
      <c r="O26" s="300">
        <f t="shared" si="2"/>
        <v>0</v>
      </c>
      <c r="P26" s="352">
        <f t="shared" si="3"/>
        <v>0</v>
      </c>
      <c r="Q26" s="352">
        <f>VLOOKUP(B26,Ttl_Inv!A:E,4,FALSE)</f>
        <v>0</v>
      </c>
      <c r="R26" s="326" t="e">
        <f t="shared" si="4"/>
        <v>#DIV/0!</v>
      </c>
      <c r="S26" s="360">
        <f>SUMIFS('Additional Color Sizes Report'!$R:$R,'Additional Color Sizes Report'!$B:$B,$B26)</f>
        <v>0</v>
      </c>
      <c r="T26" s="336" t="e">
        <f t="shared" si="5"/>
        <v>#DIV/0!</v>
      </c>
      <c r="U26" s="360">
        <f t="shared" si="6"/>
        <v>0</v>
      </c>
      <c r="V26" s="322" t="e">
        <f t="shared" si="7"/>
        <v>#DIV/0!</v>
      </c>
      <c r="W26" s="291">
        <f t="shared" si="8"/>
        <v>0</v>
      </c>
      <c r="X26" s="292">
        <f t="shared" si="9"/>
        <v>0</v>
      </c>
      <c r="Y26" s="360">
        <f t="shared" si="10"/>
        <v>0</v>
      </c>
      <c r="Z26" s="291">
        <f>COUNTIFS('Details-Products'!$C$7:$C$100000,$C26,'Details-Products'!$D$7:$D$100000,$B26,'Details-Products'!$BL$7:$BL$100000,Z$10)</f>
        <v>0</v>
      </c>
      <c r="AA26" s="291">
        <f>COUNTIFS('Details-Products'!$C$7:$C$100000,$C26,'Details-Products'!$D$7:$D$100000,$B26,'Details-Products'!$BL$7:$BL$100000,AA$10,'Details-Products'!$X$7:$X$100000,"YES")</f>
        <v>0</v>
      </c>
      <c r="AB26" s="360">
        <f>SUMIFS('Details-Products'!$Z$7:$Z$100000,'Details-Products'!$C$7:$C$100000,$C26,'Details-Products'!$D$7:$D$100000,$B26,'Details-Products'!$BL$7:$BL$100000,AB$10,'Details-Products'!$X$7:$X$100000,"YES")</f>
        <v>0</v>
      </c>
      <c r="AC26" s="291">
        <f>COUNTIFS('Details-Products'!$C$7:$C$100000,$C26,'Details-Products'!$D$7:$D$100000,$B26,'Details-Products'!$BL$7:$BL$100000,AC$10)</f>
        <v>0</v>
      </c>
      <c r="AD26" s="292">
        <f>COUNTIFS('Details-Products'!$C$7:$C$100000,$C26,'Details-Products'!$D$7:$D$100000,$B26,'Details-Products'!$BL$7:$BL$100000,AD$10,'Details-Products'!$X$7:$X$100000,"YES")</f>
        <v>0</v>
      </c>
      <c r="AE26" s="360">
        <f>SUMIFS('Details-Products'!$Z$7:$Z$100000,'Details-Products'!$C$7:$C$100000,$C26,'Details-Products'!$D$7:$D$100000,$B26,'Details-Products'!$BL$7:$BL$100000,AE$10,'Details-Products'!$X$7:$X$100000,"YES")</f>
        <v>0</v>
      </c>
      <c r="AF26" s="291">
        <f>COUNTIFS('Details-Products'!$C$7:$C$100000,$C26,'Details-Products'!$D$7:$D$100000,$B26,'Details-Products'!$BL$7:$BL$100000,AF$10)</f>
        <v>0</v>
      </c>
      <c r="AG26" s="292">
        <f>COUNTIFS('Details-Products'!$C$7:$C$100000,$C26,'Details-Products'!$D$7:$D$100000,$B26,'Details-Products'!$BL$7:$BL$100000,AG$10,'Details-Products'!$X$7:$X$100000,"YES")</f>
        <v>0</v>
      </c>
      <c r="AH26" s="360">
        <f>SUMIFS('Details-Products'!$Z$7:$Z$100000,'Details-Products'!$C$7:$C$100000,$C26,'Details-Products'!$D$7:$D$100000,$B26,'Details-Products'!$BL$7:$BL$100000,AH$10,'Details-Products'!$X$7:$X$100000,"YES")</f>
        <v>0</v>
      </c>
      <c r="AI26" s="291">
        <f>COUNTIFS('Details-Products'!$C$7:$C$100000,$C26,'Details-Products'!$D$7:$D$100000,$B26,'Details-Products'!$BL$7:$BL$100000,AI$10)</f>
        <v>0</v>
      </c>
      <c r="AJ26" s="292">
        <f>COUNTIFS('Details-Products'!$C$7:$C$100000,$C26,'Details-Products'!$D$7:$D$100000,$B26,'Details-Products'!$BL$7:$BL$100000,AJ$10,'Details-Products'!$X$7:$X$100000,"YES")</f>
        <v>0</v>
      </c>
      <c r="AK26" s="360">
        <f>SUMIFS('Details-Products'!$Z$7:$Z$100000,'Details-Products'!$C$7:$C$100000,$C26,'Details-Products'!$D$7:$D$100000,$B26,'Details-Products'!$BL$7:$BL$100000,AK$10,'Details-Products'!$X$7:$X$100000,"YES")</f>
        <v>0</v>
      </c>
      <c r="AL26" s="291">
        <f t="shared" si="12"/>
        <v>0</v>
      </c>
      <c r="AM26" s="292">
        <f t="shared" si="13"/>
        <v>0</v>
      </c>
      <c r="AN26" s="360">
        <f t="shared" si="14"/>
        <v>0</v>
      </c>
      <c r="AO26" s="292">
        <f>COUNTIFS('Details-Products'!$C$7:$C$100000,$C26,'Details-Products'!$D$7:$D$100000,$B26,'Details-Products'!$BL$7:$BL$100000,AO$10)</f>
        <v>0</v>
      </c>
      <c r="AP26" s="292">
        <f>COUNTIFS('Details-Products'!$C$7:$C$100000,$C26,'Details-Products'!$D$7:$D$100000,$B26,'Details-Products'!$BL$7:$BL$100000,AP$10,'Details-Products'!$X$7:$X$100000,"YES")</f>
        <v>0</v>
      </c>
      <c r="AQ26" s="360">
        <f>SUMIFS('Details-Products'!$Z$7:$Z$100000,'Details-Products'!$C$7:$C$100000,$C26,'Details-Products'!$D$7:$D$100000,$B26,'Details-Products'!$BL$7:$BL$100000,AQ$10,'Details-Products'!$X$7:$X$100000,"YES")</f>
        <v>0</v>
      </c>
      <c r="AR26" s="292">
        <f>COUNTIFS('Details-Products'!$C$7:$C$100000,$C26,'Details-Products'!$D$7:$D$100000,$B26,'Details-Products'!$BL$7:$BL$100000,AR$10)</f>
        <v>0</v>
      </c>
      <c r="AS26" s="292">
        <f>COUNTIFS('Details-Products'!$C$7:$C$100000,$C26,'Details-Products'!$D$7:$D$100000,$B26,'Details-Products'!$BL$7:$BL$100000,AS$10,'Details-Products'!$X$7:$X$100000,"YES")</f>
        <v>0</v>
      </c>
      <c r="AT26" s="360">
        <f>SUMIFS('Details-Products'!$Z$7:$Z$100000,'Details-Products'!$C$7:$C$100000,$C26,'Details-Products'!$D$7:$D$100000,$B26,'Details-Products'!$BL$7:$BL$100000,AT$10,'Details-Products'!$X$7:$X$100000,"YES")</f>
        <v>0</v>
      </c>
      <c r="AU26" s="292">
        <f>COUNTIFS('Details-Products'!$C$7:$C$100000,$C26,'Details-Products'!$D$7:$D$100000,$B26,'Details-Products'!$BL$7:$BL$100000,AU$10)</f>
        <v>0</v>
      </c>
      <c r="AV26" s="292">
        <f>COUNTIFS('Details-Products'!$C$7:$C$100000,$C26,'Details-Products'!$D$7:$D$100000,$B26,'Details-Products'!$BL$7:$BL$100000,AV$10,'Details-Products'!$X$7:$X$100000,"YES")</f>
        <v>0</v>
      </c>
      <c r="AW26" s="360">
        <f>SUMIFS('Details-Products'!$Z$7:$Z$100000,'Details-Products'!$C$7:$C$100000,$C26,'Details-Products'!$D$7:$D$100000,$B26,'Details-Products'!$BL$7:$BL$100000,AW$10,'Details-Products'!$X$7:$X$100000,"YES")</f>
        <v>0</v>
      </c>
      <c r="AX26" s="291">
        <f>COUNTIFS('Details-Products'!$C$7:$C$100000,$C26,'Details-Products'!$D$7:$D$100000,$B26,'Details-Products'!$BL$7:$BL$100000,AX$10)</f>
        <v>0</v>
      </c>
      <c r="AY26" s="292">
        <f>COUNTIFS('Details-Products'!$C$7:$C$100000,$C26,'Details-Products'!$D$7:$D$100000,$B26,'Details-Products'!$BL$7:$BL$100000,AY$10,'Details-Products'!$X$7:$X$100000,"YES")</f>
        <v>0</v>
      </c>
      <c r="AZ26" s="360">
        <f>SUMIFS('Details-Products'!$Z$7:$Z$100000,'Details-Products'!$C$7:$C$100000,$C26,'Details-Products'!$D$7:$D$100000,$B26,'Details-Products'!$BL$7:$BL$100000,AZ$10,'Details-Products'!$X$7:$X$100000,"YES")</f>
        <v>0</v>
      </c>
      <c r="BA26" s="291">
        <f>COUNTIFS('Details-Products'!$C$7:$C$100000,$C26,'Details-Products'!$D$7:$D$100000,$B26,'Details-Products'!$BL$7:$BL$100000,BA$10)</f>
        <v>0</v>
      </c>
      <c r="BB26" s="292">
        <f>COUNTIFS('Details-Products'!$C$7:$C$100000,$C26,'Details-Products'!$D$7:$D$100000,$B26,'Details-Products'!$BL$7:$BL$100000,BB$10,'Details-Products'!$X$7:$X$100000,"YES")</f>
        <v>0</v>
      </c>
      <c r="BC26" s="360">
        <f>SUMIFS('Details-Products'!$Z$7:$Z$100000,'Details-Products'!$C$7:$C$100000,$C26,'Details-Products'!$D$7:$D$100000,$B26,'Details-Products'!$BL$7:$BL$100000,BC$10,'Details-Products'!$X$7:$X$100000,"YES")</f>
        <v>0</v>
      </c>
      <c r="BD26" s="294">
        <f>COUNTIFS('Details-Products'!$C$7:$C$100000,$C26,'Details-Products'!$D$7:$D$100000,$B26,'Details-Products'!$BL$7:$BL$100000,BD$10)</f>
        <v>0</v>
      </c>
      <c r="BE26" s="292">
        <f>COUNTIFS('Details-Products'!$C$7:$C$100000,$C26,'Details-Products'!$D$7:$D$100000,$B26,'Details-Products'!$BL$7:$BL$100000,BE$10,'Details-Products'!$X$7:$X$100000,"YES")</f>
        <v>0</v>
      </c>
      <c r="BF26" s="360">
        <f>SUMIFS('Details-Products'!$Z$7:$Z$100000,'Details-Products'!$C$7:$C$100000,$C26,'Details-Products'!$D$7:$D$100000,$B26,'Details-Products'!$BL$7:$BL$100000,BF$10,'Details-Products'!$X$7:$X$100000,"YES")</f>
        <v>0</v>
      </c>
      <c r="BG26" s="292">
        <f t="shared" si="16"/>
        <v>0</v>
      </c>
      <c r="BH26" s="292">
        <f t="shared" si="17"/>
        <v>0</v>
      </c>
      <c r="BI26" s="360">
        <f t="shared" si="18"/>
        <v>0</v>
      </c>
      <c r="BJ26" s="240"/>
    </row>
    <row r="27" spans="1:62" ht="15" x14ac:dyDescent="0.2">
      <c r="B27" s="41">
        <v>11</v>
      </c>
      <c r="C27" s="41">
        <v>2</v>
      </c>
      <c r="D27" s="200" t="s">
        <v>268</v>
      </c>
      <c r="E27" s="295">
        <f>COUNTIFS('Details-Products'!$C$7:$C$100000,$C27,'Details-Products'!$D$7:$D$100000,$B27,'Details-Products'!$BL$7:$BL$100000,E$10)</f>
        <v>0</v>
      </c>
      <c r="F27" s="296">
        <f>COUNTIFS('Details-Products'!$C$7:$C$100000,$C27,'Details-Products'!$D$7:$D$100000,$B27,'Details-Products'!$BL$7:$BL$100000,F$10,'Details-Products'!$X$7:$X$100000,"YES")</f>
        <v>0</v>
      </c>
      <c r="G27" s="359">
        <f>SUMIFS('Details-Products'!$Z$7:$Z$100000,'Details-Products'!$C$7:$C$100000,$C27,'Details-Products'!$D$7:$D$100000,$B27,'Details-Products'!$BL$7:$BL$100000,G$10,'Details-Products'!$X$7:$X$100000,"YES")</f>
        <v>0</v>
      </c>
      <c r="H27" s="295">
        <f>COUNTIFS('Details-Products'!$C$7:$C$100000,$C27,'Details-Products'!$D$7:$D$100000,$B27,'Details-Products'!$BL$7:$BL$100000,H$10)</f>
        <v>0</v>
      </c>
      <c r="I27" s="296">
        <f>COUNTIFS('Details-Products'!$C$7:$C$100000,$C27,'Details-Products'!$D$7:$D$100000,$B27,'Details-Products'!$BL$7:$BL$100000,I$10,'Details-Products'!$X$7:$X$100000,"YES")</f>
        <v>0</v>
      </c>
      <c r="J27" s="359">
        <f>SUMIFS('Details-Products'!$Z$7:$Z$100000,'Details-Products'!$C$7:$C$100000,$C27,'Details-Products'!$D$7:$D$100000,$B27,'Details-Products'!$BL$7:$BL$100000,J$10,'Details-Products'!$X$7:$X$100000,"YES")</f>
        <v>0</v>
      </c>
      <c r="K27" s="295">
        <f>COUNTIFS('Details-Products'!$C$7:$C$100000,$C27,'Details-Products'!$D$7:$D$100000,$B27,'Details-Products'!$BL$7:$BL$100000,K$10)</f>
        <v>0</v>
      </c>
      <c r="L27" s="296">
        <f>COUNTIFS('Details-Products'!$C$7:$C$100000,$C27,'Details-Products'!$D$7:$D$100000,$B27,'Details-Products'!$BL$7:$BL$100000,L$10,'Details-Products'!$X$7:$X$100000,"YES")</f>
        <v>0</v>
      </c>
      <c r="M27" s="359">
        <f>SUMIFS('Details-Products'!$Z$7:$Z$100000,'Details-Products'!$C$7:$C$100000,$C27,'Details-Products'!$D$7:$D$100000,$B27,'Details-Products'!$BL$7:$BL$100000,M$10,'Details-Products'!$X$7:$X$100000,"YES")</f>
        <v>0</v>
      </c>
      <c r="N27" s="466">
        <f t="shared" si="1"/>
        <v>0</v>
      </c>
      <c r="O27" s="301">
        <f t="shared" si="2"/>
        <v>0</v>
      </c>
      <c r="P27" s="353">
        <f t="shared" si="3"/>
        <v>0</v>
      </c>
      <c r="Q27" s="353">
        <f>VLOOKUP(B27,Ttl_Inv!A:E,4,FALSE)</f>
        <v>0</v>
      </c>
      <c r="R27" s="329" t="e">
        <f t="shared" si="4"/>
        <v>#DIV/0!</v>
      </c>
      <c r="S27" s="359">
        <f>SUMIFS('Additional Color Sizes Report'!$R:$R,'Additional Color Sizes Report'!$B:$B,$B27)</f>
        <v>0</v>
      </c>
      <c r="T27" s="335" t="e">
        <f t="shared" si="5"/>
        <v>#DIV/0!</v>
      </c>
      <c r="U27" s="359">
        <f t="shared" si="6"/>
        <v>0</v>
      </c>
      <c r="V27" s="321" t="e">
        <f t="shared" si="7"/>
        <v>#DIV/0!</v>
      </c>
      <c r="W27" s="295">
        <f t="shared" si="8"/>
        <v>0</v>
      </c>
      <c r="X27" s="296">
        <f t="shared" si="9"/>
        <v>0</v>
      </c>
      <c r="Y27" s="359">
        <f t="shared" si="10"/>
        <v>0</v>
      </c>
      <c r="Z27" s="295">
        <f>COUNTIFS('Details-Products'!$C$7:$C$100000,$C27,'Details-Products'!$D$7:$D$100000,$B27,'Details-Products'!$BL$7:$BL$100000,Z$10)</f>
        <v>0</v>
      </c>
      <c r="AA27" s="295">
        <f>COUNTIFS('Details-Products'!$C$7:$C$100000,$C27,'Details-Products'!$D$7:$D$100000,$B27,'Details-Products'!$BL$7:$BL$100000,AA$10,'Details-Products'!$X$7:$X$100000,"YES")</f>
        <v>0</v>
      </c>
      <c r="AB27" s="359">
        <f>SUMIFS('Details-Products'!$Z$7:$Z$100000,'Details-Products'!$C$7:$C$100000,$C27,'Details-Products'!$D$7:$D$100000,$B27,'Details-Products'!$BL$7:$BL$100000,AB$10,'Details-Products'!$X$7:$X$100000,"YES")</f>
        <v>0</v>
      </c>
      <c r="AC27" s="295">
        <f>COUNTIFS('Details-Products'!$C$7:$C$100000,$C27,'Details-Products'!$D$7:$D$100000,$B27,'Details-Products'!$BL$7:$BL$100000,AC$10)</f>
        <v>0</v>
      </c>
      <c r="AD27" s="296">
        <f>COUNTIFS('Details-Products'!$C$7:$C$100000,$C27,'Details-Products'!$D$7:$D$100000,$B27,'Details-Products'!$BL$7:$BL$100000,AD$10,'Details-Products'!$X$7:$X$100000,"YES")</f>
        <v>0</v>
      </c>
      <c r="AE27" s="359">
        <f>SUMIFS('Details-Products'!$Z$7:$Z$100000,'Details-Products'!$C$7:$C$100000,$C27,'Details-Products'!$D$7:$D$100000,$B27,'Details-Products'!$BL$7:$BL$100000,AE$10,'Details-Products'!$X$7:$X$100000,"YES")</f>
        <v>0</v>
      </c>
      <c r="AF27" s="295">
        <f>COUNTIFS('Details-Products'!$C$7:$C$100000,$C27,'Details-Products'!$D$7:$D$100000,$B27,'Details-Products'!$BL$7:$BL$100000,AF$10)</f>
        <v>0</v>
      </c>
      <c r="AG27" s="296">
        <f>COUNTIFS('Details-Products'!$C$7:$C$100000,$C27,'Details-Products'!$D$7:$D$100000,$B27,'Details-Products'!$BL$7:$BL$100000,AG$10,'Details-Products'!$X$7:$X$100000,"YES")</f>
        <v>0</v>
      </c>
      <c r="AH27" s="359">
        <f>SUMIFS('Details-Products'!$Z$7:$Z$100000,'Details-Products'!$C$7:$C$100000,$C27,'Details-Products'!$D$7:$D$100000,$B27,'Details-Products'!$BL$7:$BL$100000,AH$10,'Details-Products'!$X$7:$X$100000,"YES")</f>
        <v>0</v>
      </c>
      <c r="AI27" s="295">
        <f>COUNTIFS('Details-Products'!$C$7:$C$100000,$C27,'Details-Products'!$D$7:$D$100000,$B27,'Details-Products'!$BL$7:$BL$100000,AI$10)</f>
        <v>0</v>
      </c>
      <c r="AJ27" s="296">
        <f>COUNTIFS('Details-Products'!$C$7:$C$100000,$C27,'Details-Products'!$D$7:$D$100000,$B27,'Details-Products'!$BL$7:$BL$100000,AJ$10,'Details-Products'!$X$7:$X$100000,"YES")</f>
        <v>0</v>
      </c>
      <c r="AK27" s="359">
        <f>SUMIFS('Details-Products'!$Z$7:$Z$100000,'Details-Products'!$C$7:$C$100000,$C27,'Details-Products'!$D$7:$D$100000,$B27,'Details-Products'!$BL$7:$BL$100000,AK$10,'Details-Products'!$X$7:$X$100000,"YES")</f>
        <v>0</v>
      </c>
      <c r="AL27" s="295">
        <f t="shared" si="12"/>
        <v>0</v>
      </c>
      <c r="AM27" s="296">
        <f t="shared" si="13"/>
        <v>0</v>
      </c>
      <c r="AN27" s="359">
        <f t="shared" si="14"/>
        <v>0</v>
      </c>
      <c r="AO27" s="296">
        <f>COUNTIFS('Details-Products'!$C$7:$C$100000,$C27,'Details-Products'!$D$7:$D$100000,$B27,'Details-Products'!$BL$7:$BL$100000,AO$10)</f>
        <v>0</v>
      </c>
      <c r="AP27" s="296">
        <f>COUNTIFS('Details-Products'!$C$7:$C$100000,$C27,'Details-Products'!$D$7:$D$100000,$B27,'Details-Products'!$BL$7:$BL$100000,AP$10,'Details-Products'!$X$7:$X$100000,"YES")</f>
        <v>0</v>
      </c>
      <c r="AQ27" s="359">
        <f>SUMIFS('Details-Products'!$Z$7:$Z$100000,'Details-Products'!$C$7:$C$100000,$C27,'Details-Products'!$D$7:$D$100000,$B27,'Details-Products'!$BL$7:$BL$100000,AQ$10,'Details-Products'!$X$7:$X$100000,"YES")</f>
        <v>0</v>
      </c>
      <c r="AR27" s="296">
        <f>COUNTIFS('Details-Products'!$C$7:$C$100000,$C27,'Details-Products'!$D$7:$D$100000,$B27,'Details-Products'!$BL$7:$BL$100000,AR$10)</f>
        <v>0</v>
      </c>
      <c r="AS27" s="296">
        <f>COUNTIFS('Details-Products'!$C$7:$C$100000,$C27,'Details-Products'!$D$7:$D$100000,$B27,'Details-Products'!$BL$7:$BL$100000,AS$10,'Details-Products'!$X$7:$X$100000,"YES")</f>
        <v>0</v>
      </c>
      <c r="AT27" s="359">
        <f>SUMIFS('Details-Products'!$Z$7:$Z$100000,'Details-Products'!$C$7:$C$100000,$C27,'Details-Products'!$D$7:$D$100000,$B27,'Details-Products'!$BL$7:$BL$100000,AT$10,'Details-Products'!$X$7:$X$100000,"YES")</f>
        <v>0</v>
      </c>
      <c r="AU27" s="296">
        <f>COUNTIFS('Details-Products'!$C$7:$C$100000,$C27,'Details-Products'!$D$7:$D$100000,$B27,'Details-Products'!$BL$7:$BL$100000,AU$10)</f>
        <v>0</v>
      </c>
      <c r="AV27" s="296">
        <f>COUNTIFS('Details-Products'!$C$7:$C$100000,$C27,'Details-Products'!$D$7:$D$100000,$B27,'Details-Products'!$BL$7:$BL$100000,AV$10,'Details-Products'!$X$7:$X$100000,"YES")</f>
        <v>0</v>
      </c>
      <c r="AW27" s="359">
        <f>SUMIFS('Details-Products'!$Z$7:$Z$100000,'Details-Products'!$C$7:$C$100000,$C27,'Details-Products'!$D$7:$D$100000,$B27,'Details-Products'!$BL$7:$BL$100000,AW$10,'Details-Products'!$X$7:$X$100000,"YES")</f>
        <v>0</v>
      </c>
      <c r="AX27" s="295">
        <f>COUNTIFS('Details-Products'!$C$7:$C$100000,$C27,'Details-Products'!$D$7:$D$100000,$B27,'Details-Products'!$BL$7:$BL$100000,AX$10)</f>
        <v>0</v>
      </c>
      <c r="AY27" s="296">
        <f>COUNTIFS('Details-Products'!$C$7:$C$100000,$C27,'Details-Products'!$D$7:$D$100000,$B27,'Details-Products'!$BL$7:$BL$100000,AY$10,'Details-Products'!$X$7:$X$100000,"YES")</f>
        <v>0</v>
      </c>
      <c r="AZ27" s="359">
        <f>SUMIFS('Details-Products'!$Z$7:$Z$100000,'Details-Products'!$C$7:$C$100000,$C27,'Details-Products'!$D$7:$D$100000,$B27,'Details-Products'!$BL$7:$BL$100000,AZ$10,'Details-Products'!$X$7:$X$100000,"YES")</f>
        <v>0</v>
      </c>
      <c r="BA27" s="295">
        <f>COUNTIFS('Details-Products'!$C$7:$C$100000,$C27,'Details-Products'!$D$7:$D$100000,$B27,'Details-Products'!$BL$7:$BL$100000,BA$10)</f>
        <v>0</v>
      </c>
      <c r="BB27" s="296">
        <f>COUNTIFS('Details-Products'!$C$7:$C$100000,$C27,'Details-Products'!$D$7:$D$100000,$B27,'Details-Products'!$BL$7:$BL$100000,BB$10,'Details-Products'!$X$7:$X$100000,"YES")</f>
        <v>0</v>
      </c>
      <c r="BC27" s="359">
        <f>SUMIFS('Details-Products'!$Z$7:$Z$100000,'Details-Products'!$C$7:$C$100000,$C27,'Details-Products'!$D$7:$D$100000,$B27,'Details-Products'!$BL$7:$BL$100000,BC$10,'Details-Products'!$X$7:$X$100000,"YES")</f>
        <v>0</v>
      </c>
      <c r="BD27" s="298">
        <f>COUNTIFS('Details-Products'!$C$7:$C$100000,$C27,'Details-Products'!$D$7:$D$100000,$B27,'Details-Products'!$BL$7:$BL$100000,BD$10)</f>
        <v>0</v>
      </c>
      <c r="BE27" s="296">
        <f>COUNTIFS('Details-Products'!$C$7:$C$100000,$C27,'Details-Products'!$D$7:$D$100000,$B27,'Details-Products'!$BL$7:$BL$100000,BE$10,'Details-Products'!$X$7:$X$100000,"YES")</f>
        <v>0</v>
      </c>
      <c r="BF27" s="359">
        <f>SUMIFS('Details-Products'!$Z$7:$Z$100000,'Details-Products'!$C$7:$C$100000,$C27,'Details-Products'!$D$7:$D$100000,$B27,'Details-Products'!$BL$7:$BL$100000,BF$10,'Details-Products'!$X$7:$X$100000,"YES")</f>
        <v>0</v>
      </c>
      <c r="BG27" s="296">
        <f t="shared" si="16"/>
        <v>0</v>
      </c>
      <c r="BH27" s="296">
        <f t="shared" si="17"/>
        <v>0</v>
      </c>
      <c r="BI27" s="359">
        <f t="shared" si="18"/>
        <v>0</v>
      </c>
      <c r="BJ27" s="240"/>
    </row>
    <row r="28" spans="1:62" ht="15" x14ac:dyDescent="0.2">
      <c r="B28" s="56">
        <v>35</v>
      </c>
      <c r="C28" s="41">
        <v>2</v>
      </c>
      <c r="D28" s="199" t="s">
        <v>269</v>
      </c>
      <c r="E28" s="291">
        <f>COUNTIFS('Details-Products'!$C$7:$C$100000,$C28,'Details-Products'!$D$7:$D$100000,$B28,'Details-Products'!$BL$7:$BL$100000,E$10)</f>
        <v>0</v>
      </c>
      <c r="F28" s="292">
        <f>COUNTIFS('Details-Products'!$C$7:$C$100000,$C28,'Details-Products'!$D$7:$D$100000,$B28,'Details-Products'!$BL$7:$BL$100000,F$10,'Details-Products'!$X$7:$X$100000,"YES")</f>
        <v>0</v>
      </c>
      <c r="G28" s="360">
        <f>SUMIFS('Details-Products'!$Z$7:$Z$100000,'Details-Products'!$C$7:$C$100000,$C28,'Details-Products'!$D$7:$D$100000,$B28,'Details-Products'!$BL$7:$BL$100000,G$10,'Details-Products'!$X$7:$X$100000,"YES")</f>
        <v>0</v>
      </c>
      <c r="H28" s="291">
        <f>COUNTIFS('Details-Products'!$C$7:$C$100000,$C28,'Details-Products'!$D$7:$D$100000,$B28,'Details-Products'!$BL$7:$BL$100000,H$10)</f>
        <v>0</v>
      </c>
      <c r="I28" s="292">
        <f>COUNTIFS('Details-Products'!$C$7:$C$100000,$C28,'Details-Products'!$D$7:$D$100000,$B28,'Details-Products'!$BL$7:$BL$100000,I$10,'Details-Products'!$X$7:$X$100000,"YES")</f>
        <v>0</v>
      </c>
      <c r="J28" s="360">
        <f>SUMIFS('Details-Products'!$Z$7:$Z$100000,'Details-Products'!$C$7:$C$100000,$C28,'Details-Products'!$D$7:$D$100000,$B28,'Details-Products'!$BL$7:$BL$100000,J$10,'Details-Products'!$X$7:$X$100000,"YES")</f>
        <v>0</v>
      </c>
      <c r="K28" s="291">
        <f>COUNTIFS('Details-Products'!$C$7:$C$100000,$C28,'Details-Products'!$D$7:$D$100000,$B28,'Details-Products'!$BL$7:$BL$100000,K$10)</f>
        <v>0</v>
      </c>
      <c r="L28" s="292">
        <f>COUNTIFS('Details-Products'!$C$7:$C$100000,$C28,'Details-Products'!$D$7:$D$100000,$B28,'Details-Products'!$BL$7:$BL$100000,L$10,'Details-Products'!$X$7:$X$100000,"YES")</f>
        <v>0</v>
      </c>
      <c r="M28" s="360">
        <f>SUMIFS('Details-Products'!$Z$7:$Z$100000,'Details-Products'!$C$7:$C$100000,$C28,'Details-Products'!$D$7:$D$100000,$B28,'Details-Products'!$BL$7:$BL$100000,M$10,'Details-Products'!$X$7:$X$100000,"YES")</f>
        <v>0</v>
      </c>
      <c r="N28" s="467">
        <f t="shared" si="1"/>
        <v>0</v>
      </c>
      <c r="O28" s="300">
        <f t="shared" si="2"/>
        <v>0</v>
      </c>
      <c r="P28" s="352">
        <f t="shared" si="3"/>
        <v>0</v>
      </c>
      <c r="Q28" s="352">
        <f>VLOOKUP(B28,Ttl_Inv!A:E,4,FALSE)</f>
        <v>0</v>
      </c>
      <c r="R28" s="326" t="e">
        <f t="shared" si="4"/>
        <v>#DIV/0!</v>
      </c>
      <c r="S28" s="360">
        <f>SUMIFS('Additional Color Sizes Report'!$R:$R,'Additional Color Sizes Report'!$B:$B,$B28)</f>
        <v>0</v>
      </c>
      <c r="T28" s="340" t="e">
        <f t="shared" si="5"/>
        <v>#DIV/0!</v>
      </c>
      <c r="U28" s="360">
        <f t="shared" si="6"/>
        <v>0</v>
      </c>
      <c r="V28" s="322" t="e">
        <f t="shared" si="7"/>
        <v>#DIV/0!</v>
      </c>
      <c r="W28" s="291">
        <f t="shared" si="8"/>
        <v>0</v>
      </c>
      <c r="X28" s="292">
        <f t="shared" si="9"/>
        <v>0</v>
      </c>
      <c r="Y28" s="360">
        <f t="shared" si="10"/>
        <v>0</v>
      </c>
      <c r="Z28" s="291">
        <f>COUNTIFS('Details-Products'!$C$7:$C$100000,$C28,'Details-Products'!$D$7:$D$100000,$B28,'Details-Products'!$BL$7:$BL$100000,Z$10)</f>
        <v>0</v>
      </c>
      <c r="AA28" s="291">
        <f>COUNTIFS('Details-Products'!$C$7:$C$100000,$C28,'Details-Products'!$D$7:$D$100000,$B28,'Details-Products'!$BL$7:$BL$100000,AA$10,'Details-Products'!$X$7:$X$100000,"YES")</f>
        <v>0</v>
      </c>
      <c r="AB28" s="360">
        <f>SUMIFS('Details-Products'!$Z$7:$Z$100000,'Details-Products'!$C$7:$C$100000,$C28,'Details-Products'!$D$7:$D$100000,$B28,'Details-Products'!$BL$7:$BL$100000,AB$10,'Details-Products'!$X$7:$X$100000,"YES")</f>
        <v>0</v>
      </c>
      <c r="AC28" s="291">
        <f>COUNTIFS('Details-Products'!$C$7:$C$100000,$C28,'Details-Products'!$D$7:$D$100000,$B28,'Details-Products'!$BL$7:$BL$100000,AC$10)</f>
        <v>0</v>
      </c>
      <c r="AD28" s="292">
        <f>COUNTIFS('Details-Products'!$C$7:$C$100000,$C28,'Details-Products'!$D$7:$D$100000,$B28,'Details-Products'!$BL$7:$BL$100000,AD$10,'Details-Products'!$X$7:$X$100000,"YES")</f>
        <v>0</v>
      </c>
      <c r="AE28" s="360">
        <f>SUMIFS('Details-Products'!$Z$7:$Z$100000,'Details-Products'!$C$7:$C$100000,$C28,'Details-Products'!$D$7:$D$100000,$B28,'Details-Products'!$BL$7:$BL$100000,AE$10,'Details-Products'!$X$7:$X$100000,"YES")</f>
        <v>0</v>
      </c>
      <c r="AF28" s="291">
        <f>COUNTIFS('Details-Products'!$C$7:$C$100000,$C28,'Details-Products'!$D$7:$D$100000,$B28,'Details-Products'!$BL$7:$BL$100000,AF$10)</f>
        <v>0</v>
      </c>
      <c r="AG28" s="292">
        <f>COUNTIFS('Details-Products'!$C$7:$C$100000,$C28,'Details-Products'!$D$7:$D$100000,$B28,'Details-Products'!$BL$7:$BL$100000,AG$10,'Details-Products'!$X$7:$X$100000,"YES")</f>
        <v>0</v>
      </c>
      <c r="AH28" s="360">
        <f>SUMIFS('Details-Products'!$Z$7:$Z$100000,'Details-Products'!$C$7:$C$100000,$C28,'Details-Products'!$D$7:$D$100000,$B28,'Details-Products'!$BL$7:$BL$100000,AH$10,'Details-Products'!$X$7:$X$100000,"YES")</f>
        <v>0</v>
      </c>
      <c r="AI28" s="291">
        <f>COUNTIFS('Details-Products'!$C$7:$C$100000,$C28,'Details-Products'!$D$7:$D$100000,$B28,'Details-Products'!$BL$7:$BL$100000,AI$10)</f>
        <v>0</v>
      </c>
      <c r="AJ28" s="292">
        <f>COUNTIFS('Details-Products'!$C$7:$C$100000,$C28,'Details-Products'!$D$7:$D$100000,$B28,'Details-Products'!$BL$7:$BL$100000,AJ$10,'Details-Products'!$X$7:$X$100000,"YES")</f>
        <v>0</v>
      </c>
      <c r="AK28" s="360">
        <f>SUMIFS('Details-Products'!$Z$7:$Z$100000,'Details-Products'!$C$7:$C$100000,$C28,'Details-Products'!$D$7:$D$100000,$B28,'Details-Products'!$BL$7:$BL$100000,AK$10,'Details-Products'!$X$7:$X$100000,"YES")</f>
        <v>0</v>
      </c>
      <c r="AL28" s="291">
        <f t="shared" si="12"/>
        <v>0</v>
      </c>
      <c r="AM28" s="292">
        <f t="shared" si="13"/>
        <v>0</v>
      </c>
      <c r="AN28" s="360">
        <f t="shared" si="14"/>
        <v>0</v>
      </c>
      <c r="AO28" s="292">
        <f>COUNTIFS('Details-Products'!$C$7:$C$100000,$C28,'Details-Products'!$D$7:$D$100000,$B28,'Details-Products'!$BL$7:$BL$100000,AO$10)</f>
        <v>0</v>
      </c>
      <c r="AP28" s="292">
        <f>COUNTIFS('Details-Products'!$C$7:$C$100000,$C28,'Details-Products'!$D$7:$D$100000,$B28,'Details-Products'!$BL$7:$BL$100000,AP$10,'Details-Products'!$X$7:$X$100000,"YES")</f>
        <v>0</v>
      </c>
      <c r="AQ28" s="360">
        <f>SUMIFS('Details-Products'!$Z$7:$Z$100000,'Details-Products'!$C$7:$C$100000,$C28,'Details-Products'!$D$7:$D$100000,$B28,'Details-Products'!$BL$7:$BL$100000,AQ$10,'Details-Products'!$X$7:$X$100000,"YES")</f>
        <v>0</v>
      </c>
      <c r="AR28" s="292">
        <f>COUNTIFS('Details-Products'!$C$7:$C$100000,$C28,'Details-Products'!$D$7:$D$100000,$B28,'Details-Products'!$BL$7:$BL$100000,AR$10)</f>
        <v>0</v>
      </c>
      <c r="AS28" s="292">
        <f>COUNTIFS('Details-Products'!$C$7:$C$100000,$C28,'Details-Products'!$D$7:$D$100000,$B28,'Details-Products'!$BL$7:$BL$100000,AS$10,'Details-Products'!$X$7:$X$100000,"YES")</f>
        <v>0</v>
      </c>
      <c r="AT28" s="360">
        <f>SUMIFS('Details-Products'!$Z$7:$Z$100000,'Details-Products'!$C$7:$C$100000,$C28,'Details-Products'!$D$7:$D$100000,$B28,'Details-Products'!$BL$7:$BL$100000,AT$10,'Details-Products'!$X$7:$X$100000,"YES")</f>
        <v>0</v>
      </c>
      <c r="AU28" s="292">
        <f>COUNTIFS('Details-Products'!$C$7:$C$100000,$C28,'Details-Products'!$D$7:$D$100000,$B28,'Details-Products'!$BL$7:$BL$100000,AU$10)</f>
        <v>0</v>
      </c>
      <c r="AV28" s="292">
        <f>COUNTIFS('Details-Products'!$C$7:$C$100000,$C28,'Details-Products'!$D$7:$D$100000,$B28,'Details-Products'!$BL$7:$BL$100000,AV$10,'Details-Products'!$X$7:$X$100000,"YES")</f>
        <v>0</v>
      </c>
      <c r="AW28" s="360">
        <f>SUMIFS('Details-Products'!$Z$7:$Z$100000,'Details-Products'!$C$7:$C$100000,$C28,'Details-Products'!$D$7:$D$100000,$B28,'Details-Products'!$BL$7:$BL$100000,AW$10,'Details-Products'!$X$7:$X$100000,"YES")</f>
        <v>0</v>
      </c>
      <c r="AX28" s="291">
        <f>COUNTIFS('Details-Products'!$C$7:$C$100000,$C28,'Details-Products'!$D$7:$D$100000,$B28,'Details-Products'!$BL$7:$BL$100000,AX$10)</f>
        <v>0</v>
      </c>
      <c r="AY28" s="292">
        <f>COUNTIFS('Details-Products'!$C$7:$C$100000,$C28,'Details-Products'!$D$7:$D$100000,$B28,'Details-Products'!$BL$7:$BL$100000,AY$10,'Details-Products'!$X$7:$X$100000,"YES")</f>
        <v>0</v>
      </c>
      <c r="AZ28" s="360">
        <f>SUMIFS('Details-Products'!$Z$7:$Z$100000,'Details-Products'!$C$7:$C$100000,$C28,'Details-Products'!$D$7:$D$100000,$B28,'Details-Products'!$BL$7:$BL$100000,AZ$10,'Details-Products'!$X$7:$X$100000,"YES")</f>
        <v>0</v>
      </c>
      <c r="BA28" s="291">
        <f>COUNTIFS('Details-Products'!$C$7:$C$100000,$C28,'Details-Products'!$D$7:$D$100000,$B28,'Details-Products'!$BL$7:$BL$100000,BA$10)</f>
        <v>0</v>
      </c>
      <c r="BB28" s="292">
        <f>COUNTIFS('Details-Products'!$C$7:$C$100000,$C28,'Details-Products'!$D$7:$D$100000,$B28,'Details-Products'!$BL$7:$BL$100000,BB$10,'Details-Products'!$X$7:$X$100000,"YES")</f>
        <v>0</v>
      </c>
      <c r="BC28" s="360">
        <f>SUMIFS('Details-Products'!$Z$7:$Z$100000,'Details-Products'!$C$7:$C$100000,$C28,'Details-Products'!$D$7:$D$100000,$B28,'Details-Products'!$BL$7:$BL$100000,BC$10,'Details-Products'!$X$7:$X$100000,"YES")</f>
        <v>0</v>
      </c>
      <c r="BD28" s="294">
        <f>COUNTIFS('Details-Products'!$C$7:$C$100000,$C28,'Details-Products'!$D$7:$D$100000,$B28,'Details-Products'!$BL$7:$BL$100000,BD$10)</f>
        <v>0</v>
      </c>
      <c r="BE28" s="292">
        <f>COUNTIFS('Details-Products'!$C$7:$C$100000,$C28,'Details-Products'!$D$7:$D$100000,$B28,'Details-Products'!$BL$7:$BL$100000,BE$10,'Details-Products'!$X$7:$X$100000,"YES")</f>
        <v>0</v>
      </c>
      <c r="BF28" s="360">
        <f>SUMIFS('Details-Products'!$Z$7:$Z$100000,'Details-Products'!$C$7:$C$100000,$C28,'Details-Products'!$D$7:$D$100000,$B28,'Details-Products'!$BL$7:$BL$100000,BF$10,'Details-Products'!$X$7:$X$100000,"YES")</f>
        <v>0</v>
      </c>
      <c r="BG28" s="292">
        <f t="shared" si="16"/>
        <v>0</v>
      </c>
      <c r="BH28" s="292">
        <f t="shared" si="17"/>
        <v>0</v>
      </c>
      <c r="BI28" s="360">
        <f t="shared" si="18"/>
        <v>0</v>
      </c>
      <c r="BJ28" s="240"/>
    </row>
    <row r="29" spans="1:62" ht="15.75" thickBot="1" x14ac:dyDescent="0.25">
      <c r="B29" s="41">
        <v>37</v>
      </c>
      <c r="C29" s="41">
        <v>2</v>
      </c>
      <c r="D29" s="200" t="s">
        <v>166</v>
      </c>
      <c r="E29" s="295">
        <f>COUNTIFS('Details-Products'!$C$7:$C$100000,$C29,'Details-Products'!$D$7:$D$100000,$B29,'Details-Products'!$BL$7:$BL$100000,E$10)</f>
        <v>0</v>
      </c>
      <c r="F29" s="296">
        <f>COUNTIFS('Details-Products'!$C$7:$C$100000,$C29,'Details-Products'!$D$7:$D$100000,$B29,'Details-Products'!$BL$7:$BL$100000,F$10,'Details-Products'!$X$7:$X$100000,"YES")</f>
        <v>0</v>
      </c>
      <c r="G29" s="359">
        <f>SUMIFS('Details-Products'!$Z$7:$Z$100000,'Details-Products'!$C$7:$C$100000,$C29,'Details-Products'!$D$7:$D$100000,$B29,'Details-Products'!$BL$7:$BL$100000,G$10,'Details-Products'!$X$7:$X$100000,"YES")</f>
        <v>0</v>
      </c>
      <c r="H29" s="295">
        <f>COUNTIFS('Details-Products'!$C$7:$C$100000,$C29,'Details-Products'!$D$7:$D$100000,$B29,'Details-Products'!$BL$7:$BL$100000,H$10)</f>
        <v>0</v>
      </c>
      <c r="I29" s="296">
        <f>COUNTIFS('Details-Products'!$C$7:$C$100000,$C29,'Details-Products'!$D$7:$D$100000,$B29,'Details-Products'!$BL$7:$BL$100000,I$10,'Details-Products'!$X$7:$X$100000,"YES")</f>
        <v>0</v>
      </c>
      <c r="J29" s="359">
        <f>SUMIFS('Details-Products'!$Z$7:$Z$100000,'Details-Products'!$C$7:$C$100000,$C29,'Details-Products'!$D$7:$D$100000,$B29,'Details-Products'!$BL$7:$BL$100000,J$10,'Details-Products'!$X$7:$X$100000,"YES")</f>
        <v>0</v>
      </c>
      <c r="K29" s="295">
        <f>COUNTIFS('Details-Products'!$C$7:$C$100000,$C29,'Details-Products'!$D$7:$D$100000,$B29,'Details-Products'!$BL$7:$BL$100000,K$10)</f>
        <v>0</v>
      </c>
      <c r="L29" s="296">
        <f>COUNTIFS('Details-Products'!$C$7:$C$100000,$C29,'Details-Products'!$D$7:$D$100000,$B29,'Details-Products'!$BL$7:$BL$100000,L$10,'Details-Products'!$X$7:$X$100000,"YES")</f>
        <v>0</v>
      </c>
      <c r="M29" s="359">
        <f>SUMIFS('Details-Products'!$Z$7:$Z$100000,'Details-Products'!$C$7:$C$100000,$C29,'Details-Products'!$D$7:$D$100000,$B29,'Details-Products'!$BL$7:$BL$100000,M$10,'Details-Products'!$X$7:$X$100000,"YES")</f>
        <v>0</v>
      </c>
      <c r="N29" s="466">
        <f t="shared" si="1"/>
        <v>0</v>
      </c>
      <c r="O29" s="302">
        <f t="shared" si="2"/>
        <v>0</v>
      </c>
      <c r="P29" s="354">
        <f t="shared" si="3"/>
        <v>0</v>
      </c>
      <c r="Q29" s="354">
        <f>VLOOKUP(B29,Ttl_Inv!A:E,4,FALSE)</f>
        <v>0</v>
      </c>
      <c r="R29" s="330" t="e">
        <f t="shared" si="4"/>
        <v>#DIV/0!</v>
      </c>
      <c r="S29" s="359">
        <f>SUMIFS('Additional Color Sizes Report'!$R:$R,'Additional Color Sizes Report'!$B:$B,$B29)</f>
        <v>0</v>
      </c>
      <c r="T29" s="341" t="e">
        <f t="shared" si="5"/>
        <v>#DIV/0!</v>
      </c>
      <c r="U29" s="359">
        <f t="shared" si="6"/>
        <v>0</v>
      </c>
      <c r="V29" s="321" t="e">
        <f t="shared" si="7"/>
        <v>#DIV/0!</v>
      </c>
      <c r="W29" s="295">
        <f t="shared" si="8"/>
        <v>0</v>
      </c>
      <c r="X29" s="296">
        <f t="shared" si="9"/>
        <v>0</v>
      </c>
      <c r="Y29" s="359">
        <f t="shared" si="10"/>
        <v>0</v>
      </c>
      <c r="Z29" s="295">
        <f>COUNTIFS('Details-Products'!$C$7:$C$100000,$C29,'Details-Products'!$D$7:$D$100000,$B29,'Details-Products'!$BL$7:$BL$100000,Z$10)</f>
        <v>0</v>
      </c>
      <c r="AA29" s="295">
        <f>COUNTIFS('Details-Products'!$C$7:$C$100000,$C29,'Details-Products'!$D$7:$D$100000,$B29,'Details-Products'!$BL$7:$BL$100000,AA$10,'Details-Products'!$X$7:$X$100000,"YES")</f>
        <v>0</v>
      </c>
      <c r="AB29" s="359">
        <f>SUMIFS('Details-Products'!$Z$7:$Z$100000,'Details-Products'!$C$7:$C$100000,$C29,'Details-Products'!$D$7:$D$100000,$B29,'Details-Products'!$BL$7:$BL$100000,AB$10,'Details-Products'!$X$7:$X$100000,"YES")</f>
        <v>0</v>
      </c>
      <c r="AC29" s="295">
        <f>COUNTIFS('Details-Products'!$C$7:$C$100000,$C29,'Details-Products'!$D$7:$D$100000,$B29,'Details-Products'!$BL$7:$BL$100000,AC$10)</f>
        <v>0</v>
      </c>
      <c r="AD29" s="296">
        <f>COUNTIFS('Details-Products'!$C$7:$C$100000,$C29,'Details-Products'!$D$7:$D$100000,$B29,'Details-Products'!$BL$7:$BL$100000,AD$10,'Details-Products'!$X$7:$X$100000,"YES")</f>
        <v>0</v>
      </c>
      <c r="AE29" s="359">
        <f>SUMIFS('Details-Products'!$Z$7:$Z$100000,'Details-Products'!$C$7:$C$100000,$C29,'Details-Products'!$D$7:$D$100000,$B29,'Details-Products'!$BL$7:$BL$100000,AE$10,'Details-Products'!$X$7:$X$100000,"YES")</f>
        <v>0</v>
      </c>
      <c r="AF29" s="295">
        <f>COUNTIFS('Details-Products'!$C$7:$C$100000,$C29,'Details-Products'!$D$7:$D$100000,$B29,'Details-Products'!$BL$7:$BL$100000,AF$10)</f>
        <v>0</v>
      </c>
      <c r="AG29" s="296">
        <f>COUNTIFS('Details-Products'!$C$7:$C$100000,$C29,'Details-Products'!$D$7:$D$100000,$B29,'Details-Products'!$BL$7:$BL$100000,AG$10,'Details-Products'!$X$7:$X$100000,"YES")</f>
        <v>0</v>
      </c>
      <c r="AH29" s="359">
        <f>SUMIFS('Details-Products'!$Z$7:$Z$100000,'Details-Products'!$C$7:$C$100000,$C29,'Details-Products'!$D$7:$D$100000,$B29,'Details-Products'!$BL$7:$BL$100000,AH$10,'Details-Products'!$X$7:$X$100000,"YES")</f>
        <v>0</v>
      </c>
      <c r="AI29" s="295">
        <f>COUNTIFS('Details-Products'!$C$7:$C$100000,$C29,'Details-Products'!$D$7:$D$100000,$B29,'Details-Products'!$BL$7:$BL$100000,AI$10)</f>
        <v>0</v>
      </c>
      <c r="AJ29" s="296">
        <f>COUNTIFS('Details-Products'!$C$7:$C$100000,$C29,'Details-Products'!$D$7:$D$100000,$B29,'Details-Products'!$BL$7:$BL$100000,AJ$10,'Details-Products'!$X$7:$X$100000,"YES")</f>
        <v>0</v>
      </c>
      <c r="AK29" s="359">
        <f>SUMIFS('Details-Products'!$Z$7:$Z$100000,'Details-Products'!$C$7:$C$100000,$C29,'Details-Products'!$D$7:$D$100000,$B29,'Details-Products'!$BL$7:$BL$100000,AK$10,'Details-Products'!$X$7:$X$100000,"YES")</f>
        <v>0</v>
      </c>
      <c r="AL29" s="295">
        <f t="shared" si="12"/>
        <v>0</v>
      </c>
      <c r="AM29" s="296">
        <f t="shared" si="13"/>
        <v>0</v>
      </c>
      <c r="AN29" s="359">
        <f t="shared" si="14"/>
        <v>0</v>
      </c>
      <c r="AO29" s="296">
        <f>COUNTIFS('Details-Products'!$C$7:$C$100000,$C29,'Details-Products'!$D$7:$D$100000,$B29,'Details-Products'!$BL$7:$BL$100000,AO$10)</f>
        <v>0</v>
      </c>
      <c r="AP29" s="296">
        <f>COUNTIFS('Details-Products'!$C$7:$C$100000,$C29,'Details-Products'!$D$7:$D$100000,$B29,'Details-Products'!$BL$7:$BL$100000,AP$10,'Details-Products'!$X$7:$X$100000,"YES")</f>
        <v>0</v>
      </c>
      <c r="AQ29" s="359">
        <f>SUMIFS('Details-Products'!$Z$7:$Z$100000,'Details-Products'!$C$7:$C$100000,$C29,'Details-Products'!$D$7:$D$100000,$B29,'Details-Products'!$BL$7:$BL$100000,AQ$10,'Details-Products'!$X$7:$X$100000,"YES")</f>
        <v>0</v>
      </c>
      <c r="AR29" s="296">
        <f>COUNTIFS('Details-Products'!$C$7:$C$100000,$C29,'Details-Products'!$D$7:$D$100000,$B29,'Details-Products'!$BL$7:$BL$100000,AR$10)</f>
        <v>0</v>
      </c>
      <c r="AS29" s="296">
        <f>COUNTIFS('Details-Products'!$C$7:$C$100000,$C29,'Details-Products'!$D$7:$D$100000,$B29,'Details-Products'!$BL$7:$BL$100000,AS$10,'Details-Products'!$X$7:$X$100000,"YES")</f>
        <v>0</v>
      </c>
      <c r="AT29" s="359">
        <f>SUMIFS('Details-Products'!$Z$7:$Z$100000,'Details-Products'!$C$7:$C$100000,$C29,'Details-Products'!$D$7:$D$100000,$B29,'Details-Products'!$BL$7:$BL$100000,AT$10,'Details-Products'!$X$7:$X$100000,"YES")</f>
        <v>0</v>
      </c>
      <c r="AU29" s="296">
        <f>COUNTIFS('Details-Products'!$C$7:$C$100000,$C29,'Details-Products'!$D$7:$D$100000,$B29,'Details-Products'!$BL$7:$BL$100000,AU$10)</f>
        <v>0</v>
      </c>
      <c r="AV29" s="296">
        <f>COUNTIFS('Details-Products'!$C$7:$C$100000,$C29,'Details-Products'!$D$7:$D$100000,$B29,'Details-Products'!$BL$7:$BL$100000,AV$10,'Details-Products'!$X$7:$X$100000,"YES")</f>
        <v>0</v>
      </c>
      <c r="AW29" s="359">
        <f>SUMIFS('Details-Products'!$Z$7:$Z$100000,'Details-Products'!$C$7:$C$100000,$C29,'Details-Products'!$D$7:$D$100000,$B29,'Details-Products'!$BL$7:$BL$100000,AW$10,'Details-Products'!$X$7:$X$100000,"YES")</f>
        <v>0</v>
      </c>
      <c r="AX29" s="295">
        <f>COUNTIFS('Details-Products'!$C$7:$C$100000,$C29,'Details-Products'!$D$7:$D$100000,$B29,'Details-Products'!$BL$7:$BL$100000,AX$10)</f>
        <v>0</v>
      </c>
      <c r="AY29" s="296">
        <f>COUNTIFS('Details-Products'!$C$7:$C$100000,$C29,'Details-Products'!$D$7:$D$100000,$B29,'Details-Products'!$BL$7:$BL$100000,AY$10,'Details-Products'!$X$7:$X$100000,"YES")</f>
        <v>0</v>
      </c>
      <c r="AZ29" s="359">
        <f>SUMIFS('Details-Products'!$Z$7:$Z$100000,'Details-Products'!$C$7:$C$100000,$C29,'Details-Products'!$D$7:$D$100000,$B29,'Details-Products'!$BL$7:$BL$100000,AZ$10,'Details-Products'!$X$7:$X$100000,"YES")</f>
        <v>0</v>
      </c>
      <c r="BA29" s="295">
        <f>COUNTIFS('Details-Products'!$C$7:$C$100000,$C29,'Details-Products'!$D$7:$D$100000,$B29,'Details-Products'!$BL$7:$BL$100000,BA$10)</f>
        <v>0</v>
      </c>
      <c r="BB29" s="296">
        <f>COUNTIFS('Details-Products'!$C$7:$C$100000,$C29,'Details-Products'!$D$7:$D$100000,$B29,'Details-Products'!$BL$7:$BL$100000,BB$10,'Details-Products'!$X$7:$X$100000,"YES")</f>
        <v>0</v>
      </c>
      <c r="BC29" s="359">
        <f>SUMIFS('Details-Products'!$Z$7:$Z$100000,'Details-Products'!$C$7:$C$100000,$C29,'Details-Products'!$D$7:$D$100000,$B29,'Details-Products'!$BL$7:$BL$100000,BC$10,'Details-Products'!$X$7:$X$100000,"YES")</f>
        <v>0</v>
      </c>
      <c r="BD29" s="298">
        <f>COUNTIFS('Details-Products'!$C$7:$C$100000,$C29,'Details-Products'!$D$7:$D$100000,$B29,'Details-Products'!$BL$7:$BL$100000,BD$10)</f>
        <v>0</v>
      </c>
      <c r="BE29" s="296">
        <f>COUNTIFS('Details-Products'!$C$7:$C$100000,$C29,'Details-Products'!$D$7:$D$100000,$B29,'Details-Products'!$BL$7:$BL$100000,BE$10,'Details-Products'!$X$7:$X$100000,"YES")</f>
        <v>0</v>
      </c>
      <c r="BF29" s="359">
        <f>SUMIFS('Details-Products'!$Z$7:$Z$100000,'Details-Products'!$C$7:$C$100000,$C29,'Details-Products'!$D$7:$D$100000,$B29,'Details-Products'!$BL$7:$BL$100000,BF$10,'Details-Products'!$X$7:$X$100000,"YES")</f>
        <v>0</v>
      </c>
      <c r="BG29" s="296">
        <f t="shared" si="16"/>
        <v>0</v>
      </c>
      <c r="BH29" s="296">
        <f t="shared" si="17"/>
        <v>0</v>
      </c>
      <c r="BI29" s="359">
        <f t="shared" si="18"/>
        <v>0</v>
      </c>
      <c r="BJ29" s="240"/>
    </row>
    <row r="30" spans="1:62" s="39" customFormat="1" ht="16.5" thickBot="1" x14ac:dyDescent="0.25">
      <c r="A30" s="59" t="s">
        <v>197</v>
      </c>
      <c r="B30" s="41"/>
      <c r="C30" s="41">
        <v>3</v>
      </c>
      <c r="D30" s="201" t="s">
        <v>15</v>
      </c>
      <c r="E30" s="285">
        <f t="shared" ref="E30:M30" si="22">SUM(E31:E38)</f>
        <v>0</v>
      </c>
      <c r="F30" s="286">
        <f t="shared" si="22"/>
        <v>0</v>
      </c>
      <c r="G30" s="361">
        <f t="shared" si="22"/>
        <v>0</v>
      </c>
      <c r="H30" s="285">
        <f t="shared" si="22"/>
        <v>0</v>
      </c>
      <c r="I30" s="286">
        <f t="shared" si="22"/>
        <v>0</v>
      </c>
      <c r="J30" s="361">
        <f t="shared" si="22"/>
        <v>0</v>
      </c>
      <c r="K30" s="285">
        <f t="shared" si="22"/>
        <v>0</v>
      </c>
      <c r="L30" s="286">
        <f t="shared" si="22"/>
        <v>0</v>
      </c>
      <c r="M30" s="361">
        <f t="shared" si="22"/>
        <v>0</v>
      </c>
      <c r="N30" s="464">
        <f t="shared" si="1"/>
        <v>0</v>
      </c>
      <c r="O30" s="287">
        <f t="shared" si="2"/>
        <v>0</v>
      </c>
      <c r="P30" s="351">
        <f t="shared" si="3"/>
        <v>0</v>
      </c>
      <c r="Q30" s="351">
        <f>SUM(Q31:Q38)</f>
        <v>0</v>
      </c>
      <c r="R30" s="325" t="e">
        <f t="shared" si="4"/>
        <v>#DIV/0!</v>
      </c>
      <c r="S30" s="361">
        <f>SUM(S31:S38)</f>
        <v>0</v>
      </c>
      <c r="T30" s="338" t="e">
        <f t="shared" si="5"/>
        <v>#DIV/0!</v>
      </c>
      <c r="U30" s="361">
        <f t="shared" si="6"/>
        <v>0</v>
      </c>
      <c r="V30" s="319" t="e">
        <f t="shared" si="7"/>
        <v>#DIV/0!</v>
      </c>
      <c r="W30" s="288">
        <f t="shared" si="8"/>
        <v>0</v>
      </c>
      <c r="X30" s="289">
        <f t="shared" si="9"/>
        <v>0</v>
      </c>
      <c r="Y30" s="361">
        <f t="shared" si="10"/>
        <v>0</v>
      </c>
      <c r="Z30" s="288">
        <f t="shared" ref="Z30:AK30" si="23">SUM(Z31:Z38)</f>
        <v>0</v>
      </c>
      <c r="AA30" s="288">
        <f t="shared" si="23"/>
        <v>0</v>
      </c>
      <c r="AB30" s="361">
        <f t="shared" si="23"/>
        <v>0</v>
      </c>
      <c r="AC30" s="288">
        <f t="shared" si="23"/>
        <v>0</v>
      </c>
      <c r="AD30" s="289">
        <f t="shared" si="23"/>
        <v>0</v>
      </c>
      <c r="AE30" s="361">
        <f t="shared" si="23"/>
        <v>0</v>
      </c>
      <c r="AF30" s="288">
        <f t="shared" si="23"/>
        <v>0</v>
      </c>
      <c r="AG30" s="289">
        <f t="shared" si="23"/>
        <v>0</v>
      </c>
      <c r="AH30" s="361">
        <f t="shared" si="23"/>
        <v>0</v>
      </c>
      <c r="AI30" s="288">
        <f t="shared" si="23"/>
        <v>0</v>
      </c>
      <c r="AJ30" s="289">
        <f t="shared" si="23"/>
        <v>0</v>
      </c>
      <c r="AK30" s="361">
        <f t="shared" si="23"/>
        <v>0</v>
      </c>
      <c r="AL30" s="288">
        <f t="shared" si="12"/>
        <v>0</v>
      </c>
      <c r="AM30" s="289">
        <f t="shared" si="13"/>
        <v>0</v>
      </c>
      <c r="AN30" s="361">
        <f t="shared" si="14"/>
        <v>0</v>
      </c>
      <c r="AO30" s="289">
        <f t="shared" ref="AO30:BF30" si="24">SUM(AO31:AO38)</f>
        <v>0</v>
      </c>
      <c r="AP30" s="289">
        <f t="shared" si="24"/>
        <v>0</v>
      </c>
      <c r="AQ30" s="361">
        <f t="shared" si="24"/>
        <v>0</v>
      </c>
      <c r="AR30" s="289">
        <f t="shared" si="24"/>
        <v>0</v>
      </c>
      <c r="AS30" s="289">
        <f t="shared" si="24"/>
        <v>0</v>
      </c>
      <c r="AT30" s="361">
        <f t="shared" si="24"/>
        <v>0</v>
      </c>
      <c r="AU30" s="289">
        <f t="shared" si="24"/>
        <v>0</v>
      </c>
      <c r="AV30" s="289">
        <f t="shared" si="24"/>
        <v>0</v>
      </c>
      <c r="AW30" s="361">
        <f t="shared" si="24"/>
        <v>0</v>
      </c>
      <c r="AX30" s="288">
        <f t="shared" si="24"/>
        <v>0</v>
      </c>
      <c r="AY30" s="289">
        <f t="shared" si="24"/>
        <v>0</v>
      </c>
      <c r="AZ30" s="361">
        <f t="shared" si="24"/>
        <v>0</v>
      </c>
      <c r="BA30" s="288">
        <f t="shared" si="24"/>
        <v>0</v>
      </c>
      <c r="BB30" s="289">
        <f t="shared" si="24"/>
        <v>0</v>
      </c>
      <c r="BC30" s="361">
        <f t="shared" si="24"/>
        <v>0</v>
      </c>
      <c r="BD30" s="290">
        <f t="shared" si="24"/>
        <v>0</v>
      </c>
      <c r="BE30" s="289">
        <f t="shared" si="24"/>
        <v>0</v>
      </c>
      <c r="BF30" s="361">
        <f t="shared" si="24"/>
        <v>0</v>
      </c>
      <c r="BG30" s="289">
        <f t="shared" si="16"/>
        <v>0</v>
      </c>
      <c r="BH30" s="289">
        <f t="shared" si="17"/>
        <v>0</v>
      </c>
      <c r="BI30" s="361">
        <f t="shared" si="18"/>
        <v>0</v>
      </c>
      <c r="BJ30" s="238"/>
    </row>
    <row r="31" spans="1:62" s="39" customFormat="1" ht="15" x14ac:dyDescent="0.2">
      <c r="B31" s="41">
        <v>5</v>
      </c>
      <c r="C31" s="41">
        <v>3</v>
      </c>
      <c r="D31" s="199" t="s">
        <v>145</v>
      </c>
      <c r="E31" s="291">
        <f>COUNTIFS('Details-Products'!$C$7:$C$100000,$C31,'Details-Products'!$D$7:$D$100000,$B31,'Details-Products'!$BL$7:$BL$100000,E$10)</f>
        <v>0</v>
      </c>
      <c r="F31" s="292">
        <f>COUNTIFS('Details-Products'!$C$7:$C$100000,$C31,'Details-Products'!$D$7:$D$100000,$B31,'Details-Products'!$BL$7:$BL$100000,F$10,'Details-Products'!$X$7:$X$100000,"YES")</f>
        <v>0</v>
      </c>
      <c r="G31" s="360">
        <f>SUMIFS('Details-Products'!$Z$7:$Z$100000,'Details-Products'!$C$7:$C$100000,$C31,'Details-Products'!$D$7:$D$100000,$B31,'Details-Products'!$BL$7:$BL$100000,G$10,'Details-Products'!$X$7:$X$100000,"YES")</f>
        <v>0</v>
      </c>
      <c r="H31" s="291">
        <f>COUNTIFS('Details-Products'!$C$7:$C$100000,$C31,'Details-Products'!$D$7:$D$100000,$B31,'Details-Products'!$BL$7:$BL$100000,H$10)</f>
        <v>0</v>
      </c>
      <c r="I31" s="292">
        <f>COUNTIFS('Details-Products'!$C$7:$C$100000,$C31,'Details-Products'!$D$7:$D$100000,$B31,'Details-Products'!$BL$7:$BL$100000,I$10,'Details-Products'!$X$7:$X$100000,"YES")</f>
        <v>0</v>
      </c>
      <c r="J31" s="360">
        <f>SUMIFS('Details-Products'!$Z$7:$Z$100000,'Details-Products'!$C$7:$C$100000,$C31,'Details-Products'!$D$7:$D$100000,$B31,'Details-Products'!$BL$7:$BL$100000,J$10,'Details-Products'!$X$7:$X$100000,"YES")</f>
        <v>0</v>
      </c>
      <c r="K31" s="291">
        <f>COUNTIFS('Details-Products'!$C$7:$C$100000,$C31,'Details-Products'!$D$7:$D$100000,$B31,'Details-Products'!$BL$7:$BL$100000,K$10)</f>
        <v>0</v>
      </c>
      <c r="L31" s="292">
        <f>COUNTIFS('Details-Products'!$C$7:$C$100000,$C31,'Details-Products'!$D$7:$D$100000,$B31,'Details-Products'!$BL$7:$BL$100000,L$10,'Details-Products'!$X$7:$X$100000,"YES")</f>
        <v>0</v>
      </c>
      <c r="M31" s="360">
        <f>SUMIFS('Details-Products'!$Z$7:$Z$100000,'Details-Products'!$C$7:$C$100000,$C31,'Details-Products'!$D$7:$D$100000,$B31,'Details-Products'!$BL$7:$BL$100000,M$10,'Details-Products'!$X$7:$X$100000,"YES")</f>
        <v>0</v>
      </c>
      <c r="N31" s="467">
        <f t="shared" si="1"/>
        <v>0</v>
      </c>
      <c r="O31" s="303">
        <f t="shared" si="2"/>
        <v>0</v>
      </c>
      <c r="P31" s="355">
        <f t="shared" si="3"/>
        <v>0</v>
      </c>
      <c r="Q31" s="355">
        <f>VLOOKUP(B31,Ttl_Inv!A:E,4,FALSE)</f>
        <v>0</v>
      </c>
      <c r="R31" s="331" t="e">
        <f t="shared" si="4"/>
        <v>#DIV/0!</v>
      </c>
      <c r="S31" s="360">
        <f>SUMIFS('Additional Color Sizes Report'!$R:$R,'Additional Color Sizes Report'!$B:$B,$B31)</f>
        <v>0</v>
      </c>
      <c r="T31" s="342" t="e">
        <f t="shared" si="5"/>
        <v>#DIV/0!</v>
      </c>
      <c r="U31" s="360">
        <f t="shared" si="6"/>
        <v>0</v>
      </c>
      <c r="V31" s="322" t="e">
        <f t="shared" si="7"/>
        <v>#DIV/0!</v>
      </c>
      <c r="W31" s="291">
        <f t="shared" si="8"/>
        <v>0</v>
      </c>
      <c r="X31" s="292">
        <f t="shared" si="9"/>
        <v>0</v>
      </c>
      <c r="Y31" s="360">
        <f t="shared" si="10"/>
        <v>0</v>
      </c>
      <c r="Z31" s="291">
        <f>COUNTIFS('Details-Products'!$C$7:$C$100000,$C31,'Details-Products'!$D$7:$D$100000,$B31,'Details-Products'!$BL$7:$BL$100000,Z$10)</f>
        <v>0</v>
      </c>
      <c r="AA31" s="291">
        <f>COUNTIFS('Details-Products'!$C$7:$C$100000,$C31,'Details-Products'!$D$7:$D$100000,$B31,'Details-Products'!$BL$7:$BL$100000,AA$10,'Details-Products'!$X$7:$X$100000,"YES")</f>
        <v>0</v>
      </c>
      <c r="AB31" s="360">
        <f>SUMIFS('Details-Products'!$Z$7:$Z$100000,'Details-Products'!$C$7:$C$100000,$C31,'Details-Products'!$D$7:$D$100000,$B31,'Details-Products'!$BL$7:$BL$100000,AB$10,'Details-Products'!$X$7:$X$100000,"YES")</f>
        <v>0</v>
      </c>
      <c r="AC31" s="291">
        <f>COUNTIFS('Details-Products'!$C$7:$C$100000,$C31,'Details-Products'!$D$7:$D$100000,$B31,'Details-Products'!$BL$7:$BL$100000,AC$10)</f>
        <v>0</v>
      </c>
      <c r="AD31" s="292">
        <f>COUNTIFS('Details-Products'!$C$7:$C$100000,$C31,'Details-Products'!$D$7:$D$100000,$B31,'Details-Products'!$BL$7:$BL$100000,AD$10,'Details-Products'!$X$7:$X$100000,"YES")</f>
        <v>0</v>
      </c>
      <c r="AE31" s="360">
        <f>SUMIFS('Details-Products'!$Z$7:$Z$100000,'Details-Products'!$C$7:$C$100000,$C31,'Details-Products'!$D$7:$D$100000,$B31,'Details-Products'!$BL$7:$BL$100000,AE$10,'Details-Products'!$X$7:$X$100000,"YES")</f>
        <v>0</v>
      </c>
      <c r="AF31" s="291">
        <f>COUNTIFS('Details-Products'!$C$7:$C$100000,$C31,'Details-Products'!$D$7:$D$100000,$B31,'Details-Products'!$BL$7:$BL$100000,AF$10)</f>
        <v>0</v>
      </c>
      <c r="AG31" s="292">
        <f>COUNTIFS('Details-Products'!$C$7:$C$100000,$C31,'Details-Products'!$D$7:$D$100000,$B31,'Details-Products'!$BL$7:$BL$100000,AG$10,'Details-Products'!$X$7:$X$100000,"YES")</f>
        <v>0</v>
      </c>
      <c r="AH31" s="360">
        <f>SUMIFS('Details-Products'!$Z$7:$Z$100000,'Details-Products'!$C$7:$C$100000,$C31,'Details-Products'!$D$7:$D$100000,$B31,'Details-Products'!$BL$7:$BL$100000,AH$10,'Details-Products'!$X$7:$X$100000,"YES")</f>
        <v>0</v>
      </c>
      <c r="AI31" s="291">
        <f>COUNTIFS('Details-Products'!$C$7:$C$100000,$C31,'Details-Products'!$D$7:$D$100000,$B31,'Details-Products'!$BL$7:$BL$100000,AI$10)</f>
        <v>0</v>
      </c>
      <c r="AJ31" s="292">
        <f>COUNTIFS('Details-Products'!$C$7:$C$100000,$C31,'Details-Products'!$D$7:$D$100000,$B31,'Details-Products'!$BL$7:$BL$100000,AJ$10,'Details-Products'!$X$7:$X$100000,"YES")</f>
        <v>0</v>
      </c>
      <c r="AK31" s="360">
        <f>SUMIFS('Details-Products'!$Z$7:$Z$100000,'Details-Products'!$C$7:$C$100000,$C31,'Details-Products'!$D$7:$D$100000,$B31,'Details-Products'!$BL$7:$BL$100000,AK$10,'Details-Products'!$X$7:$X$100000,"YES")</f>
        <v>0</v>
      </c>
      <c r="AL31" s="291">
        <f t="shared" si="12"/>
        <v>0</v>
      </c>
      <c r="AM31" s="292">
        <f t="shared" si="13"/>
        <v>0</v>
      </c>
      <c r="AN31" s="360">
        <f t="shared" si="14"/>
        <v>0</v>
      </c>
      <c r="AO31" s="292">
        <f>COUNTIFS('Details-Products'!$C$7:$C$100000,$C31,'Details-Products'!$D$7:$D$100000,$B31,'Details-Products'!$BL$7:$BL$100000,AO$10)</f>
        <v>0</v>
      </c>
      <c r="AP31" s="292">
        <f>COUNTIFS('Details-Products'!$C$7:$C$100000,$C31,'Details-Products'!$D$7:$D$100000,$B31,'Details-Products'!$BL$7:$BL$100000,AP$10,'Details-Products'!$X$7:$X$100000,"YES")</f>
        <v>0</v>
      </c>
      <c r="AQ31" s="360">
        <f>SUMIFS('Details-Products'!$Z$7:$Z$100000,'Details-Products'!$C$7:$C$100000,$C31,'Details-Products'!$D$7:$D$100000,$B31,'Details-Products'!$BL$7:$BL$100000,AQ$10,'Details-Products'!$X$7:$X$100000,"YES")</f>
        <v>0</v>
      </c>
      <c r="AR31" s="292">
        <f>COUNTIFS('Details-Products'!$C$7:$C$100000,$C31,'Details-Products'!$D$7:$D$100000,$B31,'Details-Products'!$BL$7:$BL$100000,AR$10)</f>
        <v>0</v>
      </c>
      <c r="AS31" s="292">
        <f>COUNTIFS('Details-Products'!$C$7:$C$100000,$C31,'Details-Products'!$D$7:$D$100000,$B31,'Details-Products'!$BL$7:$BL$100000,AS$10,'Details-Products'!$X$7:$X$100000,"YES")</f>
        <v>0</v>
      </c>
      <c r="AT31" s="360">
        <f>SUMIFS('Details-Products'!$Z$7:$Z$100000,'Details-Products'!$C$7:$C$100000,$C31,'Details-Products'!$D$7:$D$100000,$B31,'Details-Products'!$BL$7:$BL$100000,AT$10,'Details-Products'!$X$7:$X$100000,"YES")</f>
        <v>0</v>
      </c>
      <c r="AU31" s="292">
        <f>COUNTIFS('Details-Products'!$C$7:$C$100000,$C31,'Details-Products'!$D$7:$D$100000,$B31,'Details-Products'!$BL$7:$BL$100000,AU$10)</f>
        <v>0</v>
      </c>
      <c r="AV31" s="292">
        <f>COUNTIFS('Details-Products'!$C$7:$C$100000,$C31,'Details-Products'!$D$7:$D$100000,$B31,'Details-Products'!$BL$7:$BL$100000,AV$10,'Details-Products'!$X$7:$X$100000,"YES")</f>
        <v>0</v>
      </c>
      <c r="AW31" s="360">
        <f>SUMIFS('Details-Products'!$Z$7:$Z$100000,'Details-Products'!$C$7:$C$100000,$C31,'Details-Products'!$D$7:$D$100000,$B31,'Details-Products'!$BL$7:$BL$100000,AW$10,'Details-Products'!$X$7:$X$100000,"YES")</f>
        <v>0</v>
      </c>
      <c r="AX31" s="291">
        <f>COUNTIFS('Details-Products'!$C$7:$C$100000,$C31,'Details-Products'!$D$7:$D$100000,$B31,'Details-Products'!$BL$7:$BL$100000,AX$10)</f>
        <v>0</v>
      </c>
      <c r="AY31" s="292">
        <f>COUNTIFS('Details-Products'!$C$7:$C$100000,$C31,'Details-Products'!$D$7:$D$100000,$B31,'Details-Products'!$BL$7:$BL$100000,AY$10,'Details-Products'!$X$7:$X$100000,"YES")</f>
        <v>0</v>
      </c>
      <c r="AZ31" s="360">
        <f>SUMIFS('Details-Products'!$Z$7:$Z$100000,'Details-Products'!$C$7:$C$100000,$C31,'Details-Products'!$D$7:$D$100000,$B31,'Details-Products'!$BL$7:$BL$100000,AZ$10,'Details-Products'!$X$7:$X$100000,"YES")</f>
        <v>0</v>
      </c>
      <c r="BA31" s="291">
        <f>COUNTIFS('Details-Products'!$C$7:$C$100000,$C31,'Details-Products'!$D$7:$D$100000,$B31,'Details-Products'!$BL$7:$BL$100000,BA$10)</f>
        <v>0</v>
      </c>
      <c r="BB31" s="292">
        <f>COUNTIFS('Details-Products'!$C$7:$C$100000,$C31,'Details-Products'!$D$7:$D$100000,$B31,'Details-Products'!$BL$7:$BL$100000,BB$10,'Details-Products'!$X$7:$X$100000,"YES")</f>
        <v>0</v>
      </c>
      <c r="BC31" s="360">
        <f>SUMIFS('Details-Products'!$Z$7:$Z$100000,'Details-Products'!$C$7:$C$100000,$C31,'Details-Products'!$D$7:$D$100000,$B31,'Details-Products'!$BL$7:$BL$100000,BC$10,'Details-Products'!$X$7:$X$100000,"YES")</f>
        <v>0</v>
      </c>
      <c r="BD31" s="294">
        <f>COUNTIFS('Details-Products'!$C$7:$C$100000,$C31,'Details-Products'!$D$7:$D$100000,$B31,'Details-Products'!$BL$7:$BL$100000,BD$10)</f>
        <v>0</v>
      </c>
      <c r="BE31" s="292">
        <f>COUNTIFS('Details-Products'!$C$7:$C$100000,$C31,'Details-Products'!$D$7:$D$100000,$B31,'Details-Products'!$BL$7:$BL$100000,BE$10,'Details-Products'!$X$7:$X$100000,"YES")</f>
        <v>0</v>
      </c>
      <c r="BF31" s="360">
        <f>SUMIFS('Details-Products'!$Z$7:$Z$100000,'Details-Products'!$C$7:$C$100000,$C31,'Details-Products'!$D$7:$D$100000,$B31,'Details-Products'!$BL$7:$BL$100000,BF$10,'Details-Products'!$X$7:$X$100000,"YES")</f>
        <v>0</v>
      </c>
      <c r="BG31" s="292">
        <f t="shared" si="16"/>
        <v>0</v>
      </c>
      <c r="BH31" s="292">
        <f t="shared" si="17"/>
        <v>0</v>
      </c>
      <c r="BI31" s="360">
        <f t="shared" si="18"/>
        <v>0</v>
      </c>
      <c r="BJ31" s="238"/>
    </row>
    <row r="32" spans="1:62" ht="15.75" customHeight="1" x14ac:dyDescent="0.2">
      <c r="B32" s="41">
        <v>30</v>
      </c>
      <c r="C32" s="41">
        <v>3</v>
      </c>
      <c r="D32" s="200" t="s">
        <v>146</v>
      </c>
      <c r="E32" s="295">
        <f>COUNTIFS('Details-Products'!$C$7:$C$100000,$C32,'Details-Products'!$D$7:$D$100000,$B32,'Details-Products'!$BL$7:$BL$100000,E$10)</f>
        <v>0</v>
      </c>
      <c r="F32" s="296">
        <f>COUNTIFS('Details-Products'!$C$7:$C$100000,$C32,'Details-Products'!$D$7:$D$100000,$B32,'Details-Products'!$BL$7:$BL$100000,F$10,'Details-Products'!$X$7:$X$100000,"YES")</f>
        <v>0</v>
      </c>
      <c r="G32" s="359">
        <f>SUMIFS('Details-Products'!$Z$7:$Z$100000,'Details-Products'!$C$7:$C$100000,$C32,'Details-Products'!$D$7:$D$100000,$B32,'Details-Products'!$BL$7:$BL$100000,G$10,'Details-Products'!$X$7:$X$100000,"YES")</f>
        <v>0</v>
      </c>
      <c r="H32" s="295">
        <f>COUNTIFS('Details-Products'!$C$7:$C$100000,$C32,'Details-Products'!$D$7:$D$100000,$B32,'Details-Products'!$BL$7:$BL$100000,H$10)</f>
        <v>0</v>
      </c>
      <c r="I32" s="296">
        <f>COUNTIFS('Details-Products'!$C$7:$C$100000,$C32,'Details-Products'!$D$7:$D$100000,$B32,'Details-Products'!$BL$7:$BL$100000,I$10,'Details-Products'!$X$7:$X$100000,"YES")</f>
        <v>0</v>
      </c>
      <c r="J32" s="359">
        <f>SUMIFS('Details-Products'!$Z$7:$Z$100000,'Details-Products'!$C$7:$C$100000,$C32,'Details-Products'!$D$7:$D$100000,$B32,'Details-Products'!$BL$7:$BL$100000,J$10,'Details-Products'!$X$7:$X$100000,"YES")</f>
        <v>0</v>
      </c>
      <c r="K32" s="295">
        <f>COUNTIFS('Details-Products'!$C$7:$C$100000,$C32,'Details-Products'!$D$7:$D$100000,$B32,'Details-Products'!$BL$7:$BL$100000,K$10)</f>
        <v>0</v>
      </c>
      <c r="L32" s="296">
        <f>COUNTIFS('Details-Products'!$C$7:$C$100000,$C32,'Details-Products'!$D$7:$D$100000,$B32,'Details-Products'!$BL$7:$BL$100000,L$10,'Details-Products'!$X$7:$X$100000,"YES")</f>
        <v>0</v>
      </c>
      <c r="M32" s="359">
        <f>SUMIFS('Details-Products'!$Z$7:$Z$100000,'Details-Products'!$C$7:$C$100000,$C32,'Details-Products'!$D$7:$D$100000,$B32,'Details-Products'!$BL$7:$BL$100000,M$10,'Details-Products'!$X$7:$X$100000,"YES")</f>
        <v>0</v>
      </c>
      <c r="N32" s="466">
        <f t="shared" si="1"/>
        <v>0</v>
      </c>
      <c r="O32" s="302">
        <f t="shared" si="2"/>
        <v>0</v>
      </c>
      <c r="P32" s="354">
        <f t="shared" si="3"/>
        <v>0</v>
      </c>
      <c r="Q32" s="354">
        <f>VLOOKUP(B32,Ttl_Inv!A:E,4,FALSE)</f>
        <v>0</v>
      </c>
      <c r="R32" s="330" t="e">
        <f t="shared" si="4"/>
        <v>#DIV/0!</v>
      </c>
      <c r="S32" s="359">
        <f>SUMIFS('Additional Color Sizes Report'!$R:$R,'Additional Color Sizes Report'!$B:$B,$B32)</f>
        <v>0</v>
      </c>
      <c r="T32" s="343" t="e">
        <f t="shared" si="5"/>
        <v>#DIV/0!</v>
      </c>
      <c r="U32" s="359">
        <f t="shared" si="6"/>
        <v>0</v>
      </c>
      <c r="V32" s="321" t="e">
        <f t="shared" si="7"/>
        <v>#DIV/0!</v>
      </c>
      <c r="W32" s="295">
        <f t="shared" si="8"/>
        <v>0</v>
      </c>
      <c r="X32" s="296">
        <f t="shared" si="9"/>
        <v>0</v>
      </c>
      <c r="Y32" s="359">
        <f t="shared" si="10"/>
        <v>0</v>
      </c>
      <c r="Z32" s="295">
        <f>COUNTIFS('Details-Products'!$C$7:$C$100000,$C32,'Details-Products'!$D$7:$D$100000,$B32,'Details-Products'!$BL$7:$BL$100000,Z$10)</f>
        <v>0</v>
      </c>
      <c r="AA32" s="295">
        <f>COUNTIFS('Details-Products'!$C$7:$C$100000,$C32,'Details-Products'!$D$7:$D$100000,$B32,'Details-Products'!$BL$7:$BL$100000,AA$10,'Details-Products'!$X$7:$X$100000,"YES")</f>
        <v>0</v>
      </c>
      <c r="AB32" s="359">
        <f>SUMIFS('Details-Products'!$Z$7:$Z$100000,'Details-Products'!$C$7:$C$100000,$C32,'Details-Products'!$D$7:$D$100000,$B32,'Details-Products'!$BL$7:$BL$100000,AB$10,'Details-Products'!$X$7:$X$100000,"YES")</f>
        <v>0</v>
      </c>
      <c r="AC32" s="295">
        <f>COUNTIFS('Details-Products'!$C$7:$C$100000,$C32,'Details-Products'!$D$7:$D$100000,$B32,'Details-Products'!$BL$7:$BL$100000,AC$10)</f>
        <v>0</v>
      </c>
      <c r="AD32" s="296">
        <f>COUNTIFS('Details-Products'!$C$7:$C$100000,$C32,'Details-Products'!$D$7:$D$100000,$B32,'Details-Products'!$BL$7:$BL$100000,AD$10,'Details-Products'!$X$7:$X$100000,"YES")</f>
        <v>0</v>
      </c>
      <c r="AE32" s="359">
        <f>SUMIFS('Details-Products'!$Z$7:$Z$100000,'Details-Products'!$C$7:$C$100000,$C32,'Details-Products'!$D$7:$D$100000,$B32,'Details-Products'!$BL$7:$BL$100000,AE$10,'Details-Products'!$X$7:$X$100000,"YES")</f>
        <v>0</v>
      </c>
      <c r="AF32" s="295">
        <f>COUNTIFS('Details-Products'!$C$7:$C$100000,$C32,'Details-Products'!$D$7:$D$100000,$B32,'Details-Products'!$BL$7:$BL$100000,AF$10)</f>
        <v>0</v>
      </c>
      <c r="AG32" s="296">
        <f>COUNTIFS('Details-Products'!$C$7:$C$100000,$C32,'Details-Products'!$D$7:$D$100000,$B32,'Details-Products'!$BL$7:$BL$100000,AG$10,'Details-Products'!$X$7:$X$100000,"YES")</f>
        <v>0</v>
      </c>
      <c r="AH32" s="359">
        <f>SUMIFS('Details-Products'!$Z$7:$Z$100000,'Details-Products'!$C$7:$C$100000,$C32,'Details-Products'!$D$7:$D$100000,$B32,'Details-Products'!$BL$7:$BL$100000,AH$10,'Details-Products'!$X$7:$X$100000,"YES")</f>
        <v>0</v>
      </c>
      <c r="AI32" s="295">
        <f>COUNTIFS('Details-Products'!$C$7:$C$100000,$C32,'Details-Products'!$D$7:$D$100000,$B32,'Details-Products'!$BL$7:$BL$100000,AI$10)</f>
        <v>0</v>
      </c>
      <c r="AJ32" s="296">
        <f>COUNTIFS('Details-Products'!$C$7:$C$100000,$C32,'Details-Products'!$D$7:$D$100000,$B32,'Details-Products'!$BL$7:$BL$100000,AJ$10,'Details-Products'!$X$7:$X$100000,"YES")</f>
        <v>0</v>
      </c>
      <c r="AK32" s="359">
        <f>SUMIFS('Details-Products'!$Z$7:$Z$100000,'Details-Products'!$C$7:$C$100000,$C32,'Details-Products'!$D$7:$D$100000,$B32,'Details-Products'!$BL$7:$BL$100000,AK$10,'Details-Products'!$X$7:$X$100000,"YES")</f>
        <v>0</v>
      </c>
      <c r="AL32" s="295">
        <f t="shared" si="12"/>
        <v>0</v>
      </c>
      <c r="AM32" s="296">
        <f t="shared" si="13"/>
        <v>0</v>
      </c>
      <c r="AN32" s="359">
        <f t="shared" si="14"/>
        <v>0</v>
      </c>
      <c r="AO32" s="296">
        <f>COUNTIFS('Details-Products'!$C$7:$C$100000,$C32,'Details-Products'!$D$7:$D$100000,$B32,'Details-Products'!$BL$7:$BL$100000,AO$10)</f>
        <v>0</v>
      </c>
      <c r="AP32" s="296">
        <f>COUNTIFS('Details-Products'!$C$7:$C$100000,$C32,'Details-Products'!$D$7:$D$100000,$B32,'Details-Products'!$BL$7:$BL$100000,AP$10,'Details-Products'!$X$7:$X$100000,"YES")</f>
        <v>0</v>
      </c>
      <c r="AQ32" s="359">
        <f>SUMIFS('Details-Products'!$Z$7:$Z$100000,'Details-Products'!$C$7:$C$100000,$C32,'Details-Products'!$D$7:$D$100000,$B32,'Details-Products'!$BL$7:$BL$100000,AQ$10,'Details-Products'!$X$7:$X$100000,"YES")</f>
        <v>0</v>
      </c>
      <c r="AR32" s="296">
        <f>COUNTIFS('Details-Products'!$C$7:$C$100000,$C32,'Details-Products'!$D$7:$D$100000,$B32,'Details-Products'!$BL$7:$BL$100000,AR$10)</f>
        <v>0</v>
      </c>
      <c r="AS32" s="296">
        <f>COUNTIFS('Details-Products'!$C$7:$C$100000,$C32,'Details-Products'!$D$7:$D$100000,$B32,'Details-Products'!$BL$7:$BL$100000,AS$10,'Details-Products'!$X$7:$X$100000,"YES")</f>
        <v>0</v>
      </c>
      <c r="AT32" s="359">
        <f>SUMIFS('Details-Products'!$Z$7:$Z$100000,'Details-Products'!$C$7:$C$100000,$C32,'Details-Products'!$D$7:$D$100000,$B32,'Details-Products'!$BL$7:$BL$100000,AT$10,'Details-Products'!$X$7:$X$100000,"YES")</f>
        <v>0</v>
      </c>
      <c r="AU32" s="296">
        <f>COUNTIFS('Details-Products'!$C$7:$C$100000,$C32,'Details-Products'!$D$7:$D$100000,$B32,'Details-Products'!$BL$7:$BL$100000,AU$10)</f>
        <v>0</v>
      </c>
      <c r="AV32" s="296">
        <f>COUNTIFS('Details-Products'!$C$7:$C$100000,$C32,'Details-Products'!$D$7:$D$100000,$B32,'Details-Products'!$BL$7:$BL$100000,AV$10,'Details-Products'!$X$7:$X$100000,"YES")</f>
        <v>0</v>
      </c>
      <c r="AW32" s="359">
        <f>SUMIFS('Details-Products'!$Z$7:$Z$100000,'Details-Products'!$C$7:$C$100000,$C32,'Details-Products'!$D$7:$D$100000,$B32,'Details-Products'!$BL$7:$BL$100000,AW$10,'Details-Products'!$X$7:$X$100000,"YES")</f>
        <v>0</v>
      </c>
      <c r="AX32" s="295">
        <f>COUNTIFS('Details-Products'!$C$7:$C$100000,$C32,'Details-Products'!$D$7:$D$100000,$B32,'Details-Products'!$BL$7:$BL$100000,AX$10)</f>
        <v>0</v>
      </c>
      <c r="AY32" s="296">
        <f>COUNTIFS('Details-Products'!$C$7:$C$100000,$C32,'Details-Products'!$D$7:$D$100000,$B32,'Details-Products'!$BL$7:$BL$100000,AY$10,'Details-Products'!$X$7:$X$100000,"YES")</f>
        <v>0</v>
      </c>
      <c r="AZ32" s="359">
        <f>SUMIFS('Details-Products'!$Z$7:$Z$100000,'Details-Products'!$C$7:$C$100000,$C32,'Details-Products'!$D$7:$D$100000,$B32,'Details-Products'!$BL$7:$BL$100000,AZ$10,'Details-Products'!$X$7:$X$100000,"YES")</f>
        <v>0</v>
      </c>
      <c r="BA32" s="295">
        <f>COUNTIFS('Details-Products'!$C$7:$C$100000,$C32,'Details-Products'!$D$7:$D$100000,$B32,'Details-Products'!$BL$7:$BL$100000,BA$10)</f>
        <v>0</v>
      </c>
      <c r="BB32" s="296">
        <f>COUNTIFS('Details-Products'!$C$7:$C$100000,$C32,'Details-Products'!$D$7:$D$100000,$B32,'Details-Products'!$BL$7:$BL$100000,BB$10,'Details-Products'!$X$7:$X$100000,"YES")</f>
        <v>0</v>
      </c>
      <c r="BC32" s="359">
        <f>SUMIFS('Details-Products'!$Z$7:$Z$100000,'Details-Products'!$C$7:$C$100000,$C32,'Details-Products'!$D$7:$D$100000,$B32,'Details-Products'!$BL$7:$BL$100000,BC$10,'Details-Products'!$X$7:$X$100000,"YES")</f>
        <v>0</v>
      </c>
      <c r="BD32" s="298">
        <f>COUNTIFS('Details-Products'!$C$7:$C$100000,$C32,'Details-Products'!$D$7:$D$100000,$B32,'Details-Products'!$BL$7:$BL$100000,BD$10)</f>
        <v>0</v>
      </c>
      <c r="BE32" s="296">
        <f>COUNTIFS('Details-Products'!$C$7:$C$100000,$C32,'Details-Products'!$D$7:$D$100000,$B32,'Details-Products'!$BL$7:$BL$100000,BE$10,'Details-Products'!$X$7:$X$100000,"YES")</f>
        <v>0</v>
      </c>
      <c r="BF32" s="359">
        <f>SUMIFS('Details-Products'!$Z$7:$Z$100000,'Details-Products'!$C$7:$C$100000,$C32,'Details-Products'!$D$7:$D$100000,$B32,'Details-Products'!$BL$7:$BL$100000,BF$10,'Details-Products'!$X$7:$X$100000,"YES")</f>
        <v>0</v>
      </c>
      <c r="BG32" s="296">
        <f t="shared" si="16"/>
        <v>0</v>
      </c>
      <c r="BH32" s="296">
        <f t="shared" si="17"/>
        <v>0</v>
      </c>
      <c r="BI32" s="359">
        <f t="shared" si="18"/>
        <v>0</v>
      </c>
      <c r="BJ32" s="240"/>
    </row>
    <row r="33" spans="1:62" ht="15" x14ac:dyDescent="0.2">
      <c r="B33" s="41">
        <v>31</v>
      </c>
      <c r="C33" s="41">
        <v>3</v>
      </c>
      <c r="D33" s="199" t="s">
        <v>147</v>
      </c>
      <c r="E33" s="291">
        <f>COUNTIFS('Details-Products'!$C$7:$C$100000,$C33,'Details-Products'!$D$7:$D$100000,$B33,'Details-Products'!$BL$7:$BL$100000,E$10)</f>
        <v>0</v>
      </c>
      <c r="F33" s="292">
        <f>COUNTIFS('Details-Products'!$C$7:$C$100000,$C33,'Details-Products'!$D$7:$D$100000,$B33,'Details-Products'!$BL$7:$BL$100000,F$10,'Details-Products'!$X$7:$X$100000,"YES")</f>
        <v>0</v>
      </c>
      <c r="G33" s="360">
        <f>SUMIFS('Details-Products'!$Z$7:$Z$100000,'Details-Products'!$C$7:$C$100000,$C33,'Details-Products'!$D$7:$D$100000,$B33,'Details-Products'!$BL$7:$BL$100000,G$10,'Details-Products'!$X$7:$X$100000,"YES")</f>
        <v>0</v>
      </c>
      <c r="H33" s="291">
        <f>COUNTIFS('Details-Products'!$C$7:$C$100000,$C33,'Details-Products'!$D$7:$D$100000,$B33,'Details-Products'!$BL$7:$BL$100000,H$10)</f>
        <v>0</v>
      </c>
      <c r="I33" s="292">
        <f>COUNTIFS('Details-Products'!$C$7:$C$100000,$C33,'Details-Products'!$D$7:$D$100000,$B33,'Details-Products'!$BL$7:$BL$100000,I$10,'Details-Products'!$X$7:$X$100000,"YES")</f>
        <v>0</v>
      </c>
      <c r="J33" s="360">
        <f>SUMIFS('Details-Products'!$Z$7:$Z$100000,'Details-Products'!$C$7:$C$100000,$C33,'Details-Products'!$D$7:$D$100000,$B33,'Details-Products'!$BL$7:$BL$100000,J$10,'Details-Products'!$X$7:$X$100000,"YES")</f>
        <v>0</v>
      </c>
      <c r="K33" s="291">
        <f>COUNTIFS('Details-Products'!$C$7:$C$100000,$C33,'Details-Products'!$D$7:$D$100000,$B33,'Details-Products'!$BL$7:$BL$100000,K$10)</f>
        <v>0</v>
      </c>
      <c r="L33" s="292">
        <f>COUNTIFS('Details-Products'!$C$7:$C$100000,$C33,'Details-Products'!$D$7:$D$100000,$B33,'Details-Products'!$BL$7:$BL$100000,L$10,'Details-Products'!$X$7:$X$100000,"YES")</f>
        <v>0</v>
      </c>
      <c r="M33" s="360">
        <f>SUMIFS('Details-Products'!$Z$7:$Z$100000,'Details-Products'!$C$7:$C$100000,$C33,'Details-Products'!$D$7:$D$100000,$B33,'Details-Products'!$BL$7:$BL$100000,M$10,'Details-Products'!$X$7:$X$100000,"YES")</f>
        <v>0</v>
      </c>
      <c r="N33" s="467">
        <f t="shared" si="1"/>
        <v>0</v>
      </c>
      <c r="O33" s="303">
        <f t="shared" si="2"/>
        <v>0</v>
      </c>
      <c r="P33" s="355">
        <f t="shared" si="3"/>
        <v>0</v>
      </c>
      <c r="Q33" s="355">
        <f>VLOOKUP(B33,Ttl_Inv!A:E,4,FALSE)</f>
        <v>0</v>
      </c>
      <c r="R33" s="331" t="e">
        <f t="shared" si="4"/>
        <v>#DIV/0!</v>
      </c>
      <c r="S33" s="360">
        <f>SUMIFS('Additional Color Sizes Report'!$R:$R,'Additional Color Sizes Report'!$B:$B,$B33)</f>
        <v>0</v>
      </c>
      <c r="T33" s="344" t="e">
        <f t="shared" si="5"/>
        <v>#DIV/0!</v>
      </c>
      <c r="U33" s="360">
        <f t="shared" si="6"/>
        <v>0</v>
      </c>
      <c r="V33" s="322" t="e">
        <f t="shared" si="7"/>
        <v>#DIV/0!</v>
      </c>
      <c r="W33" s="291">
        <f t="shared" si="8"/>
        <v>0</v>
      </c>
      <c r="X33" s="292">
        <f t="shared" si="9"/>
        <v>0</v>
      </c>
      <c r="Y33" s="360">
        <f t="shared" si="10"/>
        <v>0</v>
      </c>
      <c r="Z33" s="291">
        <f>COUNTIFS('Details-Products'!$C$7:$C$100000,$C33,'Details-Products'!$D$7:$D$100000,$B33,'Details-Products'!$BL$7:$BL$100000,Z$10)</f>
        <v>0</v>
      </c>
      <c r="AA33" s="291">
        <f>COUNTIFS('Details-Products'!$C$7:$C$100000,$C33,'Details-Products'!$D$7:$D$100000,$B33,'Details-Products'!$BL$7:$BL$100000,AA$10,'Details-Products'!$X$7:$X$100000,"YES")</f>
        <v>0</v>
      </c>
      <c r="AB33" s="360">
        <f>SUMIFS('Details-Products'!$Z$7:$Z$100000,'Details-Products'!$C$7:$C$100000,$C33,'Details-Products'!$D$7:$D$100000,$B33,'Details-Products'!$BL$7:$BL$100000,AB$10,'Details-Products'!$X$7:$X$100000,"YES")</f>
        <v>0</v>
      </c>
      <c r="AC33" s="291">
        <f>COUNTIFS('Details-Products'!$C$7:$C$100000,$C33,'Details-Products'!$D$7:$D$100000,$B33,'Details-Products'!$BL$7:$BL$100000,AC$10)</f>
        <v>0</v>
      </c>
      <c r="AD33" s="292">
        <f>COUNTIFS('Details-Products'!$C$7:$C$100000,$C33,'Details-Products'!$D$7:$D$100000,$B33,'Details-Products'!$BL$7:$BL$100000,AD$10,'Details-Products'!$X$7:$X$100000,"YES")</f>
        <v>0</v>
      </c>
      <c r="AE33" s="360">
        <f>SUMIFS('Details-Products'!$Z$7:$Z$100000,'Details-Products'!$C$7:$C$100000,$C33,'Details-Products'!$D$7:$D$100000,$B33,'Details-Products'!$BL$7:$BL$100000,AE$10,'Details-Products'!$X$7:$X$100000,"YES")</f>
        <v>0</v>
      </c>
      <c r="AF33" s="291">
        <f>COUNTIFS('Details-Products'!$C$7:$C$100000,$C33,'Details-Products'!$D$7:$D$100000,$B33,'Details-Products'!$BL$7:$BL$100000,AF$10)</f>
        <v>0</v>
      </c>
      <c r="AG33" s="292">
        <f>COUNTIFS('Details-Products'!$C$7:$C$100000,$C33,'Details-Products'!$D$7:$D$100000,$B33,'Details-Products'!$BL$7:$BL$100000,AG$10,'Details-Products'!$X$7:$X$100000,"YES")</f>
        <v>0</v>
      </c>
      <c r="AH33" s="360">
        <f>SUMIFS('Details-Products'!$Z$7:$Z$100000,'Details-Products'!$C$7:$C$100000,$C33,'Details-Products'!$D$7:$D$100000,$B33,'Details-Products'!$BL$7:$BL$100000,AH$10,'Details-Products'!$X$7:$X$100000,"YES")</f>
        <v>0</v>
      </c>
      <c r="AI33" s="291">
        <f>COUNTIFS('Details-Products'!$C$7:$C$100000,$C33,'Details-Products'!$D$7:$D$100000,$B33,'Details-Products'!$BL$7:$BL$100000,AI$10)</f>
        <v>0</v>
      </c>
      <c r="AJ33" s="292">
        <f>COUNTIFS('Details-Products'!$C$7:$C$100000,$C33,'Details-Products'!$D$7:$D$100000,$B33,'Details-Products'!$BL$7:$BL$100000,AJ$10,'Details-Products'!$X$7:$X$100000,"YES")</f>
        <v>0</v>
      </c>
      <c r="AK33" s="360">
        <f>SUMIFS('Details-Products'!$Z$7:$Z$100000,'Details-Products'!$C$7:$C$100000,$C33,'Details-Products'!$D$7:$D$100000,$B33,'Details-Products'!$BL$7:$BL$100000,AK$10,'Details-Products'!$X$7:$X$100000,"YES")</f>
        <v>0</v>
      </c>
      <c r="AL33" s="291">
        <f t="shared" si="12"/>
        <v>0</v>
      </c>
      <c r="AM33" s="292">
        <f t="shared" si="13"/>
        <v>0</v>
      </c>
      <c r="AN33" s="360">
        <f t="shared" si="14"/>
        <v>0</v>
      </c>
      <c r="AO33" s="292">
        <f>COUNTIFS('Details-Products'!$C$7:$C$100000,$C33,'Details-Products'!$D$7:$D$100000,$B33,'Details-Products'!$BL$7:$BL$100000,AO$10)</f>
        <v>0</v>
      </c>
      <c r="AP33" s="292">
        <f>COUNTIFS('Details-Products'!$C$7:$C$100000,$C33,'Details-Products'!$D$7:$D$100000,$B33,'Details-Products'!$BL$7:$BL$100000,AP$10,'Details-Products'!$X$7:$X$100000,"YES")</f>
        <v>0</v>
      </c>
      <c r="AQ33" s="360">
        <f>SUMIFS('Details-Products'!$Z$7:$Z$100000,'Details-Products'!$C$7:$C$100000,$C33,'Details-Products'!$D$7:$D$100000,$B33,'Details-Products'!$BL$7:$BL$100000,AQ$10,'Details-Products'!$X$7:$X$100000,"YES")</f>
        <v>0</v>
      </c>
      <c r="AR33" s="292">
        <f>COUNTIFS('Details-Products'!$C$7:$C$100000,$C33,'Details-Products'!$D$7:$D$100000,$B33,'Details-Products'!$BL$7:$BL$100000,AR$10)</f>
        <v>0</v>
      </c>
      <c r="AS33" s="292">
        <f>COUNTIFS('Details-Products'!$C$7:$C$100000,$C33,'Details-Products'!$D$7:$D$100000,$B33,'Details-Products'!$BL$7:$BL$100000,AS$10,'Details-Products'!$X$7:$X$100000,"YES")</f>
        <v>0</v>
      </c>
      <c r="AT33" s="360">
        <f>SUMIFS('Details-Products'!$Z$7:$Z$100000,'Details-Products'!$C$7:$C$100000,$C33,'Details-Products'!$D$7:$D$100000,$B33,'Details-Products'!$BL$7:$BL$100000,AT$10,'Details-Products'!$X$7:$X$100000,"YES")</f>
        <v>0</v>
      </c>
      <c r="AU33" s="292">
        <f>COUNTIFS('Details-Products'!$C$7:$C$100000,$C33,'Details-Products'!$D$7:$D$100000,$B33,'Details-Products'!$BL$7:$BL$100000,AU$10)</f>
        <v>0</v>
      </c>
      <c r="AV33" s="292">
        <f>COUNTIFS('Details-Products'!$C$7:$C$100000,$C33,'Details-Products'!$D$7:$D$100000,$B33,'Details-Products'!$BL$7:$BL$100000,AV$10,'Details-Products'!$X$7:$X$100000,"YES")</f>
        <v>0</v>
      </c>
      <c r="AW33" s="360">
        <f>SUMIFS('Details-Products'!$Z$7:$Z$100000,'Details-Products'!$C$7:$C$100000,$C33,'Details-Products'!$D$7:$D$100000,$B33,'Details-Products'!$BL$7:$BL$100000,AW$10,'Details-Products'!$X$7:$X$100000,"YES")</f>
        <v>0</v>
      </c>
      <c r="AX33" s="291">
        <f>COUNTIFS('Details-Products'!$C$7:$C$100000,$C33,'Details-Products'!$D$7:$D$100000,$B33,'Details-Products'!$BL$7:$BL$100000,AX$10)</f>
        <v>0</v>
      </c>
      <c r="AY33" s="292">
        <f>COUNTIFS('Details-Products'!$C$7:$C$100000,$C33,'Details-Products'!$D$7:$D$100000,$B33,'Details-Products'!$BL$7:$BL$100000,AY$10,'Details-Products'!$X$7:$X$100000,"YES")</f>
        <v>0</v>
      </c>
      <c r="AZ33" s="360">
        <f>SUMIFS('Details-Products'!$Z$7:$Z$100000,'Details-Products'!$C$7:$C$100000,$C33,'Details-Products'!$D$7:$D$100000,$B33,'Details-Products'!$BL$7:$BL$100000,AZ$10,'Details-Products'!$X$7:$X$100000,"YES")</f>
        <v>0</v>
      </c>
      <c r="BA33" s="291">
        <f>COUNTIFS('Details-Products'!$C$7:$C$100000,$C33,'Details-Products'!$D$7:$D$100000,$B33,'Details-Products'!$BL$7:$BL$100000,BA$10)</f>
        <v>0</v>
      </c>
      <c r="BB33" s="292">
        <f>COUNTIFS('Details-Products'!$C$7:$C$100000,$C33,'Details-Products'!$D$7:$D$100000,$B33,'Details-Products'!$BL$7:$BL$100000,BB$10,'Details-Products'!$X$7:$X$100000,"YES")</f>
        <v>0</v>
      </c>
      <c r="BC33" s="360">
        <f>SUMIFS('Details-Products'!$Z$7:$Z$100000,'Details-Products'!$C$7:$C$100000,$C33,'Details-Products'!$D$7:$D$100000,$B33,'Details-Products'!$BL$7:$BL$100000,BC$10,'Details-Products'!$X$7:$X$100000,"YES")</f>
        <v>0</v>
      </c>
      <c r="BD33" s="294">
        <f>COUNTIFS('Details-Products'!$C$7:$C$100000,$C33,'Details-Products'!$D$7:$D$100000,$B33,'Details-Products'!$BL$7:$BL$100000,BD$10)</f>
        <v>0</v>
      </c>
      <c r="BE33" s="292">
        <f>COUNTIFS('Details-Products'!$C$7:$C$100000,$C33,'Details-Products'!$D$7:$D$100000,$B33,'Details-Products'!$BL$7:$BL$100000,BE$10,'Details-Products'!$X$7:$X$100000,"YES")</f>
        <v>0</v>
      </c>
      <c r="BF33" s="360">
        <f>SUMIFS('Details-Products'!$Z$7:$Z$100000,'Details-Products'!$C$7:$C$100000,$C33,'Details-Products'!$D$7:$D$100000,$B33,'Details-Products'!$BL$7:$BL$100000,BF$10,'Details-Products'!$X$7:$X$100000,"YES")</f>
        <v>0</v>
      </c>
      <c r="BG33" s="292">
        <f t="shared" si="16"/>
        <v>0</v>
      </c>
      <c r="BH33" s="292">
        <f t="shared" si="17"/>
        <v>0</v>
      </c>
      <c r="BI33" s="360">
        <f t="shared" si="18"/>
        <v>0</v>
      </c>
      <c r="BJ33" s="240"/>
    </row>
    <row r="34" spans="1:62" ht="15" x14ac:dyDescent="0.2">
      <c r="B34" s="41">
        <v>33</v>
      </c>
      <c r="C34" s="41">
        <v>3</v>
      </c>
      <c r="D34" s="200" t="s">
        <v>148</v>
      </c>
      <c r="E34" s="295">
        <f>COUNTIFS('Details-Products'!$C$7:$C$100000,$C34,'Details-Products'!$D$7:$D$100000,$B34,'Details-Products'!$BL$7:$BL$100000,E$10)</f>
        <v>0</v>
      </c>
      <c r="F34" s="296">
        <f>COUNTIFS('Details-Products'!$C$7:$C$100000,$C34,'Details-Products'!$D$7:$D$100000,$B34,'Details-Products'!$BL$7:$BL$100000,F$10,'Details-Products'!$X$7:$X$100000,"YES")</f>
        <v>0</v>
      </c>
      <c r="G34" s="359">
        <f>SUMIFS('Details-Products'!$Z$7:$Z$100000,'Details-Products'!$C$7:$C$100000,$C34,'Details-Products'!$D$7:$D$100000,$B34,'Details-Products'!$BL$7:$BL$100000,G$10,'Details-Products'!$X$7:$X$100000,"YES")</f>
        <v>0</v>
      </c>
      <c r="H34" s="295">
        <f>COUNTIFS('Details-Products'!$C$7:$C$100000,$C34,'Details-Products'!$D$7:$D$100000,$B34,'Details-Products'!$BL$7:$BL$100000,H$10)</f>
        <v>0</v>
      </c>
      <c r="I34" s="296">
        <f>COUNTIFS('Details-Products'!$C$7:$C$100000,$C34,'Details-Products'!$D$7:$D$100000,$B34,'Details-Products'!$BL$7:$BL$100000,I$10,'Details-Products'!$X$7:$X$100000,"YES")</f>
        <v>0</v>
      </c>
      <c r="J34" s="359">
        <f>SUMIFS('Details-Products'!$Z$7:$Z$100000,'Details-Products'!$C$7:$C$100000,$C34,'Details-Products'!$D$7:$D$100000,$B34,'Details-Products'!$BL$7:$BL$100000,J$10,'Details-Products'!$X$7:$X$100000,"YES")</f>
        <v>0</v>
      </c>
      <c r="K34" s="295">
        <f>COUNTIFS('Details-Products'!$C$7:$C$100000,$C34,'Details-Products'!$D$7:$D$100000,$B34,'Details-Products'!$BL$7:$BL$100000,K$10)</f>
        <v>0</v>
      </c>
      <c r="L34" s="296">
        <f>COUNTIFS('Details-Products'!$C$7:$C$100000,$C34,'Details-Products'!$D$7:$D$100000,$B34,'Details-Products'!$BL$7:$BL$100000,L$10,'Details-Products'!$X$7:$X$100000,"YES")</f>
        <v>0</v>
      </c>
      <c r="M34" s="359">
        <f>SUMIFS('Details-Products'!$Z$7:$Z$100000,'Details-Products'!$C$7:$C$100000,$C34,'Details-Products'!$D$7:$D$100000,$B34,'Details-Products'!$BL$7:$BL$100000,M$10,'Details-Products'!$X$7:$X$100000,"YES")</f>
        <v>0</v>
      </c>
      <c r="N34" s="466">
        <f t="shared" si="1"/>
        <v>0</v>
      </c>
      <c r="O34" s="302">
        <f t="shared" si="2"/>
        <v>0</v>
      </c>
      <c r="P34" s="354">
        <f t="shared" si="3"/>
        <v>0</v>
      </c>
      <c r="Q34" s="354">
        <f>VLOOKUP(B34,Ttl_Inv!A:E,4,FALSE)</f>
        <v>0</v>
      </c>
      <c r="R34" s="330" t="e">
        <f t="shared" si="4"/>
        <v>#DIV/0!</v>
      </c>
      <c r="S34" s="359">
        <f>SUMIFS('Additional Color Sizes Report'!$R:$R,'Additional Color Sizes Report'!$B:$B,$B34)</f>
        <v>0</v>
      </c>
      <c r="T34" s="343" t="e">
        <f t="shared" si="5"/>
        <v>#DIV/0!</v>
      </c>
      <c r="U34" s="359">
        <f t="shared" si="6"/>
        <v>0</v>
      </c>
      <c r="V34" s="321" t="e">
        <f t="shared" si="7"/>
        <v>#DIV/0!</v>
      </c>
      <c r="W34" s="295">
        <f t="shared" si="8"/>
        <v>0</v>
      </c>
      <c r="X34" s="296">
        <f t="shared" si="9"/>
        <v>0</v>
      </c>
      <c r="Y34" s="359">
        <f t="shared" si="10"/>
        <v>0</v>
      </c>
      <c r="Z34" s="295">
        <f>COUNTIFS('Details-Products'!$C$7:$C$100000,$C34,'Details-Products'!$D$7:$D$100000,$B34,'Details-Products'!$BL$7:$BL$100000,Z$10)</f>
        <v>0</v>
      </c>
      <c r="AA34" s="295">
        <f>COUNTIFS('Details-Products'!$C$7:$C$100000,$C34,'Details-Products'!$D$7:$D$100000,$B34,'Details-Products'!$BL$7:$BL$100000,AA$10,'Details-Products'!$X$7:$X$100000,"YES")</f>
        <v>0</v>
      </c>
      <c r="AB34" s="359">
        <f>SUMIFS('Details-Products'!$Z$7:$Z$100000,'Details-Products'!$C$7:$C$100000,$C34,'Details-Products'!$D$7:$D$100000,$B34,'Details-Products'!$BL$7:$BL$100000,AB$10,'Details-Products'!$X$7:$X$100000,"YES")</f>
        <v>0</v>
      </c>
      <c r="AC34" s="295">
        <f>COUNTIFS('Details-Products'!$C$7:$C$100000,$C34,'Details-Products'!$D$7:$D$100000,$B34,'Details-Products'!$BL$7:$BL$100000,AC$10)</f>
        <v>0</v>
      </c>
      <c r="AD34" s="296">
        <f>COUNTIFS('Details-Products'!$C$7:$C$100000,$C34,'Details-Products'!$D$7:$D$100000,$B34,'Details-Products'!$BL$7:$BL$100000,AD$10,'Details-Products'!$X$7:$X$100000,"YES")</f>
        <v>0</v>
      </c>
      <c r="AE34" s="359">
        <f>SUMIFS('Details-Products'!$Z$7:$Z$100000,'Details-Products'!$C$7:$C$100000,$C34,'Details-Products'!$D$7:$D$100000,$B34,'Details-Products'!$BL$7:$BL$100000,AE$10,'Details-Products'!$X$7:$X$100000,"YES")</f>
        <v>0</v>
      </c>
      <c r="AF34" s="295">
        <f>COUNTIFS('Details-Products'!$C$7:$C$100000,$C34,'Details-Products'!$D$7:$D$100000,$B34,'Details-Products'!$BL$7:$BL$100000,AF$10)</f>
        <v>0</v>
      </c>
      <c r="AG34" s="296">
        <f>COUNTIFS('Details-Products'!$C$7:$C$100000,$C34,'Details-Products'!$D$7:$D$100000,$B34,'Details-Products'!$BL$7:$BL$100000,AG$10,'Details-Products'!$X$7:$X$100000,"YES")</f>
        <v>0</v>
      </c>
      <c r="AH34" s="359">
        <f>SUMIFS('Details-Products'!$Z$7:$Z$100000,'Details-Products'!$C$7:$C$100000,$C34,'Details-Products'!$D$7:$D$100000,$B34,'Details-Products'!$BL$7:$BL$100000,AH$10,'Details-Products'!$X$7:$X$100000,"YES")</f>
        <v>0</v>
      </c>
      <c r="AI34" s="295">
        <f>COUNTIFS('Details-Products'!$C$7:$C$100000,$C34,'Details-Products'!$D$7:$D$100000,$B34,'Details-Products'!$BL$7:$BL$100000,AI$10)</f>
        <v>0</v>
      </c>
      <c r="AJ34" s="296">
        <f>COUNTIFS('Details-Products'!$C$7:$C$100000,$C34,'Details-Products'!$D$7:$D$100000,$B34,'Details-Products'!$BL$7:$BL$100000,AJ$10,'Details-Products'!$X$7:$X$100000,"YES")</f>
        <v>0</v>
      </c>
      <c r="AK34" s="359">
        <f>SUMIFS('Details-Products'!$Z$7:$Z$100000,'Details-Products'!$C$7:$C$100000,$C34,'Details-Products'!$D$7:$D$100000,$B34,'Details-Products'!$BL$7:$BL$100000,AK$10,'Details-Products'!$X$7:$X$100000,"YES")</f>
        <v>0</v>
      </c>
      <c r="AL34" s="295">
        <f t="shared" si="12"/>
        <v>0</v>
      </c>
      <c r="AM34" s="296">
        <f t="shared" si="13"/>
        <v>0</v>
      </c>
      <c r="AN34" s="359">
        <f t="shared" si="14"/>
        <v>0</v>
      </c>
      <c r="AO34" s="296">
        <f>COUNTIFS('Details-Products'!$C$7:$C$100000,$C34,'Details-Products'!$D$7:$D$100000,$B34,'Details-Products'!$BL$7:$BL$100000,AO$10)</f>
        <v>0</v>
      </c>
      <c r="AP34" s="296">
        <f>COUNTIFS('Details-Products'!$C$7:$C$100000,$C34,'Details-Products'!$D$7:$D$100000,$B34,'Details-Products'!$BL$7:$BL$100000,AP$10,'Details-Products'!$X$7:$X$100000,"YES")</f>
        <v>0</v>
      </c>
      <c r="AQ34" s="359">
        <f>SUMIFS('Details-Products'!$Z$7:$Z$100000,'Details-Products'!$C$7:$C$100000,$C34,'Details-Products'!$D$7:$D$100000,$B34,'Details-Products'!$BL$7:$BL$100000,AQ$10,'Details-Products'!$X$7:$X$100000,"YES")</f>
        <v>0</v>
      </c>
      <c r="AR34" s="296">
        <f>COUNTIFS('Details-Products'!$C$7:$C$100000,$C34,'Details-Products'!$D$7:$D$100000,$B34,'Details-Products'!$BL$7:$BL$100000,AR$10)</f>
        <v>0</v>
      </c>
      <c r="AS34" s="296">
        <f>COUNTIFS('Details-Products'!$C$7:$C$100000,$C34,'Details-Products'!$D$7:$D$100000,$B34,'Details-Products'!$BL$7:$BL$100000,AS$10,'Details-Products'!$X$7:$X$100000,"YES")</f>
        <v>0</v>
      </c>
      <c r="AT34" s="359">
        <f>SUMIFS('Details-Products'!$Z$7:$Z$100000,'Details-Products'!$C$7:$C$100000,$C34,'Details-Products'!$D$7:$D$100000,$B34,'Details-Products'!$BL$7:$BL$100000,AT$10,'Details-Products'!$X$7:$X$100000,"YES")</f>
        <v>0</v>
      </c>
      <c r="AU34" s="296">
        <f>COUNTIFS('Details-Products'!$C$7:$C$100000,$C34,'Details-Products'!$D$7:$D$100000,$B34,'Details-Products'!$BL$7:$BL$100000,AU$10)</f>
        <v>0</v>
      </c>
      <c r="AV34" s="296">
        <f>COUNTIFS('Details-Products'!$C$7:$C$100000,$C34,'Details-Products'!$D$7:$D$100000,$B34,'Details-Products'!$BL$7:$BL$100000,AV$10,'Details-Products'!$X$7:$X$100000,"YES")</f>
        <v>0</v>
      </c>
      <c r="AW34" s="359">
        <f>SUMIFS('Details-Products'!$Z$7:$Z$100000,'Details-Products'!$C$7:$C$100000,$C34,'Details-Products'!$D$7:$D$100000,$B34,'Details-Products'!$BL$7:$BL$100000,AW$10,'Details-Products'!$X$7:$X$100000,"YES")</f>
        <v>0</v>
      </c>
      <c r="AX34" s="295">
        <f>COUNTIFS('Details-Products'!$C$7:$C$100000,$C34,'Details-Products'!$D$7:$D$100000,$B34,'Details-Products'!$BL$7:$BL$100000,AX$10)</f>
        <v>0</v>
      </c>
      <c r="AY34" s="296">
        <f>COUNTIFS('Details-Products'!$C$7:$C$100000,$C34,'Details-Products'!$D$7:$D$100000,$B34,'Details-Products'!$BL$7:$BL$100000,AY$10,'Details-Products'!$X$7:$X$100000,"YES")</f>
        <v>0</v>
      </c>
      <c r="AZ34" s="359">
        <f>SUMIFS('Details-Products'!$Z$7:$Z$100000,'Details-Products'!$C$7:$C$100000,$C34,'Details-Products'!$D$7:$D$100000,$B34,'Details-Products'!$BL$7:$BL$100000,AZ$10,'Details-Products'!$X$7:$X$100000,"YES")</f>
        <v>0</v>
      </c>
      <c r="BA34" s="295">
        <f>COUNTIFS('Details-Products'!$C$7:$C$100000,$C34,'Details-Products'!$D$7:$D$100000,$B34,'Details-Products'!$BL$7:$BL$100000,BA$10)</f>
        <v>0</v>
      </c>
      <c r="BB34" s="296">
        <f>COUNTIFS('Details-Products'!$C$7:$C$100000,$C34,'Details-Products'!$D$7:$D$100000,$B34,'Details-Products'!$BL$7:$BL$100000,BB$10,'Details-Products'!$X$7:$X$100000,"YES")</f>
        <v>0</v>
      </c>
      <c r="BC34" s="359">
        <f>SUMIFS('Details-Products'!$Z$7:$Z$100000,'Details-Products'!$C$7:$C$100000,$C34,'Details-Products'!$D$7:$D$100000,$B34,'Details-Products'!$BL$7:$BL$100000,BC$10,'Details-Products'!$X$7:$X$100000,"YES")</f>
        <v>0</v>
      </c>
      <c r="BD34" s="298">
        <f>COUNTIFS('Details-Products'!$C$7:$C$100000,$C34,'Details-Products'!$D$7:$D$100000,$B34,'Details-Products'!$BL$7:$BL$100000,BD$10)</f>
        <v>0</v>
      </c>
      <c r="BE34" s="296">
        <f>COUNTIFS('Details-Products'!$C$7:$C$100000,$C34,'Details-Products'!$D$7:$D$100000,$B34,'Details-Products'!$BL$7:$BL$100000,BE$10,'Details-Products'!$X$7:$X$100000,"YES")</f>
        <v>0</v>
      </c>
      <c r="BF34" s="359">
        <f>SUMIFS('Details-Products'!$Z$7:$Z$100000,'Details-Products'!$C$7:$C$100000,$C34,'Details-Products'!$D$7:$D$100000,$B34,'Details-Products'!$BL$7:$BL$100000,BF$10,'Details-Products'!$X$7:$X$100000,"YES")</f>
        <v>0</v>
      </c>
      <c r="BG34" s="296">
        <f t="shared" si="16"/>
        <v>0</v>
      </c>
      <c r="BH34" s="296">
        <f t="shared" si="17"/>
        <v>0</v>
      </c>
      <c r="BI34" s="359">
        <f t="shared" si="18"/>
        <v>0</v>
      </c>
      <c r="BJ34" s="240"/>
    </row>
    <row r="35" spans="1:62" s="39" customFormat="1" ht="15" x14ac:dyDescent="0.2">
      <c r="B35" s="41">
        <v>62</v>
      </c>
      <c r="C35" s="41">
        <v>3</v>
      </c>
      <c r="D35" s="200" t="s">
        <v>149</v>
      </c>
      <c r="E35" s="295">
        <f>COUNTIFS('Details-Products'!$C$7:$C$100000,$C35,'Details-Products'!$D$7:$D$100000,$B35,'Details-Products'!$BL$7:$BL$100000,E$10)</f>
        <v>0</v>
      </c>
      <c r="F35" s="296">
        <f>COUNTIFS('Details-Products'!$C$7:$C$100000,$C35,'Details-Products'!$D$7:$D$100000,$B35,'Details-Products'!$BL$7:$BL$100000,F$10,'Details-Products'!$X$7:$X$100000,"YES")</f>
        <v>0</v>
      </c>
      <c r="G35" s="359">
        <f>SUMIFS('Details-Products'!$Z$7:$Z$100000,'Details-Products'!$C$7:$C$100000,$C35,'Details-Products'!$D$7:$D$100000,$B35,'Details-Products'!$BL$7:$BL$100000,G$10,'Details-Products'!$X$7:$X$100000,"YES")</f>
        <v>0</v>
      </c>
      <c r="H35" s="295">
        <f>COUNTIFS('Details-Products'!$C$7:$C$100000,$C35,'Details-Products'!$D$7:$D$100000,$B35,'Details-Products'!$BL$7:$BL$100000,H$10)</f>
        <v>0</v>
      </c>
      <c r="I35" s="296">
        <f>COUNTIFS('Details-Products'!$C$7:$C$100000,$C35,'Details-Products'!$D$7:$D$100000,$B35,'Details-Products'!$BL$7:$BL$100000,I$10,'Details-Products'!$X$7:$X$100000,"YES")</f>
        <v>0</v>
      </c>
      <c r="J35" s="359">
        <f>SUMIFS('Details-Products'!$Z$7:$Z$100000,'Details-Products'!$C$7:$C$100000,$C35,'Details-Products'!$D$7:$D$100000,$B35,'Details-Products'!$BL$7:$BL$100000,J$10,'Details-Products'!$X$7:$X$100000,"YES")</f>
        <v>0</v>
      </c>
      <c r="K35" s="295">
        <f>COUNTIFS('Details-Products'!$C$7:$C$100000,$C35,'Details-Products'!$D$7:$D$100000,$B35,'Details-Products'!$BL$7:$BL$100000,K$10)</f>
        <v>0</v>
      </c>
      <c r="L35" s="296">
        <f>COUNTIFS('Details-Products'!$C$7:$C$100000,$C35,'Details-Products'!$D$7:$D$100000,$B35,'Details-Products'!$BL$7:$BL$100000,L$10,'Details-Products'!$X$7:$X$100000,"YES")</f>
        <v>0</v>
      </c>
      <c r="M35" s="359">
        <f>SUMIFS('Details-Products'!$Z$7:$Z$100000,'Details-Products'!$C$7:$C$100000,$C35,'Details-Products'!$D$7:$D$100000,$B35,'Details-Products'!$BL$7:$BL$100000,M$10,'Details-Products'!$X$7:$X$100000,"YES")</f>
        <v>0</v>
      </c>
      <c r="N35" s="466">
        <f t="shared" si="1"/>
        <v>0</v>
      </c>
      <c r="O35" s="302">
        <f t="shared" si="2"/>
        <v>0</v>
      </c>
      <c r="P35" s="354">
        <f t="shared" si="3"/>
        <v>0</v>
      </c>
      <c r="Q35" s="354">
        <f>VLOOKUP(B35,Ttl_Inv!A:E,4,FALSE)</f>
        <v>0</v>
      </c>
      <c r="R35" s="330" t="e">
        <f t="shared" si="4"/>
        <v>#DIV/0!</v>
      </c>
      <c r="S35" s="359">
        <f>SUMIFS('Additional Color Sizes Report'!$R:$R,'Additional Color Sizes Report'!$B:$B,$B35)</f>
        <v>0</v>
      </c>
      <c r="T35" s="343" t="e">
        <f t="shared" si="5"/>
        <v>#DIV/0!</v>
      </c>
      <c r="U35" s="359">
        <f t="shared" si="6"/>
        <v>0</v>
      </c>
      <c r="V35" s="321" t="e">
        <f t="shared" si="7"/>
        <v>#DIV/0!</v>
      </c>
      <c r="W35" s="295">
        <f t="shared" si="8"/>
        <v>0</v>
      </c>
      <c r="X35" s="296">
        <f t="shared" si="9"/>
        <v>0</v>
      </c>
      <c r="Y35" s="359">
        <f t="shared" si="10"/>
        <v>0</v>
      </c>
      <c r="Z35" s="295">
        <f>COUNTIFS('Details-Products'!$C$7:$C$100000,$C35,'Details-Products'!$D$7:$D$100000,$B35,'Details-Products'!$BL$7:$BL$100000,Z$10)</f>
        <v>0</v>
      </c>
      <c r="AA35" s="295">
        <f>COUNTIFS('Details-Products'!$C$7:$C$100000,$C35,'Details-Products'!$D$7:$D$100000,$B35,'Details-Products'!$BL$7:$BL$100000,AA$10,'Details-Products'!$X$7:$X$100000,"YES")</f>
        <v>0</v>
      </c>
      <c r="AB35" s="359">
        <f>SUMIFS('Details-Products'!$Z$7:$Z$100000,'Details-Products'!$C$7:$C$100000,$C35,'Details-Products'!$D$7:$D$100000,$B35,'Details-Products'!$BL$7:$BL$100000,AB$10,'Details-Products'!$X$7:$X$100000,"YES")</f>
        <v>0</v>
      </c>
      <c r="AC35" s="295">
        <f>COUNTIFS('Details-Products'!$C$7:$C$100000,$C35,'Details-Products'!$D$7:$D$100000,$B35,'Details-Products'!$BL$7:$BL$100000,AC$10)</f>
        <v>0</v>
      </c>
      <c r="AD35" s="296">
        <f>COUNTIFS('Details-Products'!$C$7:$C$100000,$C35,'Details-Products'!$D$7:$D$100000,$B35,'Details-Products'!$BL$7:$BL$100000,AD$10,'Details-Products'!$X$7:$X$100000,"YES")</f>
        <v>0</v>
      </c>
      <c r="AE35" s="359">
        <f>SUMIFS('Details-Products'!$Z$7:$Z$100000,'Details-Products'!$C$7:$C$100000,$C35,'Details-Products'!$D$7:$D$100000,$B35,'Details-Products'!$BL$7:$BL$100000,AE$10,'Details-Products'!$X$7:$X$100000,"YES")</f>
        <v>0</v>
      </c>
      <c r="AF35" s="295">
        <f>COUNTIFS('Details-Products'!$C$7:$C$100000,$C35,'Details-Products'!$D$7:$D$100000,$B35,'Details-Products'!$BL$7:$BL$100000,AF$10)</f>
        <v>0</v>
      </c>
      <c r="AG35" s="296">
        <f>COUNTIFS('Details-Products'!$C$7:$C$100000,$C35,'Details-Products'!$D$7:$D$100000,$B35,'Details-Products'!$BL$7:$BL$100000,AG$10,'Details-Products'!$X$7:$X$100000,"YES")</f>
        <v>0</v>
      </c>
      <c r="AH35" s="359">
        <f>SUMIFS('Details-Products'!$Z$7:$Z$100000,'Details-Products'!$C$7:$C$100000,$C35,'Details-Products'!$D$7:$D$100000,$B35,'Details-Products'!$BL$7:$BL$100000,AH$10,'Details-Products'!$X$7:$X$100000,"YES")</f>
        <v>0</v>
      </c>
      <c r="AI35" s="295">
        <f>COUNTIFS('Details-Products'!$C$7:$C$100000,$C35,'Details-Products'!$D$7:$D$100000,$B35,'Details-Products'!$BL$7:$BL$100000,AI$10)</f>
        <v>0</v>
      </c>
      <c r="AJ35" s="296">
        <f>COUNTIFS('Details-Products'!$C$7:$C$100000,$C35,'Details-Products'!$D$7:$D$100000,$B35,'Details-Products'!$BL$7:$BL$100000,AJ$10,'Details-Products'!$X$7:$X$100000,"YES")</f>
        <v>0</v>
      </c>
      <c r="AK35" s="359">
        <f>SUMIFS('Details-Products'!$Z$7:$Z$100000,'Details-Products'!$C$7:$C$100000,$C35,'Details-Products'!$D$7:$D$100000,$B35,'Details-Products'!$BL$7:$BL$100000,AK$10,'Details-Products'!$X$7:$X$100000,"YES")</f>
        <v>0</v>
      </c>
      <c r="AL35" s="295">
        <f t="shared" si="12"/>
        <v>0</v>
      </c>
      <c r="AM35" s="296">
        <f t="shared" si="13"/>
        <v>0</v>
      </c>
      <c r="AN35" s="359">
        <f t="shared" si="14"/>
        <v>0</v>
      </c>
      <c r="AO35" s="296">
        <f>COUNTIFS('Details-Products'!$C$7:$C$100000,$C35,'Details-Products'!$D$7:$D$100000,$B35,'Details-Products'!$BL$7:$BL$100000,AO$10)</f>
        <v>0</v>
      </c>
      <c r="AP35" s="296">
        <f>COUNTIFS('Details-Products'!$C$7:$C$100000,$C35,'Details-Products'!$D$7:$D$100000,$B35,'Details-Products'!$BL$7:$BL$100000,AP$10,'Details-Products'!$X$7:$X$100000,"YES")</f>
        <v>0</v>
      </c>
      <c r="AQ35" s="359">
        <f>SUMIFS('Details-Products'!$Z$7:$Z$100000,'Details-Products'!$C$7:$C$100000,$C35,'Details-Products'!$D$7:$D$100000,$B35,'Details-Products'!$BL$7:$BL$100000,AQ$10,'Details-Products'!$X$7:$X$100000,"YES")</f>
        <v>0</v>
      </c>
      <c r="AR35" s="296">
        <f>COUNTIFS('Details-Products'!$C$7:$C$100000,$C35,'Details-Products'!$D$7:$D$100000,$B35,'Details-Products'!$BL$7:$BL$100000,AR$10)</f>
        <v>0</v>
      </c>
      <c r="AS35" s="296">
        <f>COUNTIFS('Details-Products'!$C$7:$C$100000,$C35,'Details-Products'!$D$7:$D$100000,$B35,'Details-Products'!$BL$7:$BL$100000,AS$10,'Details-Products'!$X$7:$X$100000,"YES")</f>
        <v>0</v>
      </c>
      <c r="AT35" s="359">
        <f>SUMIFS('Details-Products'!$Z$7:$Z$100000,'Details-Products'!$C$7:$C$100000,$C35,'Details-Products'!$D$7:$D$100000,$B35,'Details-Products'!$BL$7:$BL$100000,AT$10,'Details-Products'!$X$7:$X$100000,"YES")</f>
        <v>0</v>
      </c>
      <c r="AU35" s="296">
        <f>COUNTIFS('Details-Products'!$C$7:$C$100000,$C35,'Details-Products'!$D$7:$D$100000,$B35,'Details-Products'!$BL$7:$BL$100000,AU$10)</f>
        <v>0</v>
      </c>
      <c r="AV35" s="296">
        <f>COUNTIFS('Details-Products'!$C$7:$C$100000,$C35,'Details-Products'!$D$7:$D$100000,$B35,'Details-Products'!$BL$7:$BL$100000,AV$10,'Details-Products'!$X$7:$X$100000,"YES")</f>
        <v>0</v>
      </c>
      <c r="AW35" s="359">
        <f>SUMIFS('Details-Products'!$Z$7:$Z$100000,'Details-Products'!$C$7:$C$100000,$C35,'Details-Products'!$D$7:$D$100000,$B35,'Details-Products'!$BL$7:$BL$100000,AW$10,'Details-Products'!$X$7:$X$100000,"YES")</f>
        <v>0</v>
      </c>
      <c r="AX35" s="295">
        <f>COUNTIFS('Details-Products'!$C$7:$C$100000,$C35,'Details-Products'!$D$7:$D$100000,$B35,'Details-Products'!$BL$7:$BL$100000,AX$10)</f>
        <v>0</v>
      </c>
      <c r="AY35" s="296">
        <f>COUNTIFS('Details-Products'!$C$7:$C$100000,$C35,'Details-Products'!$D$7:$D$100000,$B35,'Details-Products'!$BL$7:$BL$100000,AY$10,'Details-Products'!$X$7:$X$100000,"YES")</f>
        <v>0</v>
      </c>
      <c r="AZ35" s="359">
        <f>SUMIFS('Details-Products'!$Z$7:$Z$100000,'Details-Products'!$C$7:$C$100000,$C35,'Details-Products'!$D$7:$D$100000,$B35,'Details-Products'!$BL$7:$BL$100000,AZ$10,'Details-Products'!$X$7:$X$100000,"YES")</f>
        <v>0</v>
      </c>
      <c r="BA35" s="295">
        <f>COUNTIFS('Details-Products'!$C$7:$C$100000,$C35,'Details-Products'!$D$7:$D$100000,$B35,'Details-Products'!$BL$7:$BL$100000,BA$10)</f>
        <v>0</v>
      </c>
      <c r="BB35" s="296">
        <f>COUNTIFS('Details-Products'!$C$7:$C$100000,$C35,'Details-Products'!$D$7:$D$100000,$B35,'Details-Products'!$BL$7:$BL$100000,BB$10,'Details-Products'!$X$7:$X$100000,"YES")</f>
        <v>0</v>
      </c>
      <c r="BC35" s="359">
        <f>SUMIFS('Details-Products'!$Z$7:$Z$100000,'Details-Products'!$C$7:$C$100000,$C35,'Details-Products'!$D$7:$D$100000,$B35,'Details-Products'!$BL$7:$BL$100000,BC$10,'Details-Products'!$X$7:$X$100000,"YES")</f>
        <v>0</v>
      </c>
      <c r="BD35" s="298">
        <f>COUNTIFS('Details-Products'!$C$7:$C$100000,$C35,'Details-Products'!$D$7:$D$100000,$B35,'Details-Products'!$BL$7:$BL$100000,BD$10)</f>
        <v>0</v>
      </c>
      <c r="BE35" s="296">
        <f>COUNTIFS('Details-Products'!$C$7:$C$100000,$C35,'Details-Products'!$D$7:$D$100000,$B35,'Details-Products'!$BL$7:$BL$100000,BE$10,'Details-Products'!$X$7:$X$100000,"YES")</f>
        <v>0</v>
      </c>
      <c r="BF35" s="359">
        <f>SUMIFS('Details-Products'!$Z$7:$Z$100000,'Details-Products'!$C$7:$C$100000,$C35,'Details-Products'!$D$7:$D$100000,$B35,'Details-Products'!$BL$7:$BL$100000,BF$10,'Details-Products'!$X$7:$X$100000,"YES")</f>
        <v>0</v>
      </c>
      <c r="BG35" s="296">
        <f t="shared" si="16"/>
        <v>0</v>
      </c>
      <c r="BH35" s="296">
        <f t="shared" si="17"/>
        <v>0</v>
      </c>
      <c r="BI35" s="359">
        <f t="shared" si="18"/>
        <v>0</v>
      </c>
      <c r="BJ35" s="238"/>
    </row>
    <row r="36" spans="1:62" s="39" customFormat="1" ht="15" x14ac:dyDescent="0.2">
      <c r="B36" s="41">
        <v>63</v>
      </c>
      <c r="C36" s="41">
        <v>3</v>
      </c>
      <c r="D36" s="200" t="s">
        <v>150</v>
      </c>
      <c r="E36" s="295">
        <f>COUNTIFS('Details-Products'!$C$7:$C$100000,$C36,'Details-Products'!$D$7:$D$100000,$B36,'Details-Products'!$BL$7:$BL$100000,E$10)</f>
        <v>0</v>
      </c>
      <c r="F36" s="296">
        <f>COUNTIFS('Details-Products'!$C$7:$C$100000,$C36,'Details-Products'!$D$7:$D$100000,$B36,'Details-Products'!$BL$7:$BL$100000,F$10,'Details-Products'!$X$7:$X$100000,"YES")</f>
        <v>0</v>
      </c>
      <c r="G36" s="359">
        <f>SUMIFS('Details-Products'!$Z$7:$Z$100000,'Details-Products'!$C$7:$C$100000,$C36,'Details-Products'!$D$7:$D$100000,$B36,'Details-Products'!$BL$7:$BL$100000,G$10,'Details-Products'!$X$7:$X$100000,"YES")</f>
        <v>0</v>
      </c>
      <c r="H36" s="295">
        <f>COUNTIFS('Details-Products'!$C$7:$C$100000,$C36,'Details-Products'!$D$7:$D$100000,$B36,'Details-Products'!$BL$7:$BL$100000,H$10)</f>
        <v>0</v>
      </c>
      <c r="I36" s="296">
        <f>COUNTIFS('Details-Products'!$C$7:$C$100000,$C36,'Details-Products'!$D$7:$D$100000,$B36,'Details-Products'!$BL$7:$BL$100000,I$10,'Details-Products'!$X$7:$X$100000,"YES")</f>
        <v>0</v>
      </c>
      <c r="J36" s="359">
        <f>SUMIFS('Details-Products'!$Z$7:$Z$100000,'Details-Products'!$C$7:$C$100000,$C36,'Details-Products'!$D$7:$D$100000,$B36,'Details-Products'!$BL$7:$BL$100000,J$10,'Details-Products'!$X$7:$X$100000,"YES")</f>
        <v>0</v>
      </c>
      <c r="K36" s="295">
        <f>COUNTIFS('Details-Products'!$C$7:$C$100000,$C36,'Details-Products'!$D$7:$D$100000,$B36,'Details-Products'!$BL$7:$BL$100000,K$10)</f>
        <v>0</v>
      </c>
      <c r="L36" s="296">
        <f>COUNTIFS('Details-Products'!$C$7:$C$100000,$C36,'Details-Products'!$D$7:$D$100000,$B36,'Details-Products'!$BL$7:$BL$100000,L$10,'Details-Products'!$X$7:$X$100000,"YES")</f>
        <v>0</v>
      </c>
      <c r="M36" s="359">
        <f>SUMIFS('Details-Products'!$Z$7:$Z$100000,'Details-Products'!$C$7:$C$100000,$C36,'Details-Products'!$D$7:$D$100000,$B36,'Details-Products'!$BL$7:$BL$100000,M$10,'Details-Products'!$X$7:$X$100000,"YES")</f>
        <v>0</v>
      </c>
      <c r="N36" s="467">
        <f t="shared" si="1"/>
        <v>0</v>
      </c>
      <c r="O36" s="303">
        <f t="shared" si="2"/>
        <v>0</v>
      </c>
      <c r="P36" s="355">
        <f t="shared" si="3"/>
        <v>0</v>
      </c>
      <c r="Q36" s="355">
        <f>VLOOKUP(B36,Ttl_Inv!A:E,4,FALSE)</f>
        <v>0</v>
      </c>
      <c r="R36" s="331" t="e">
        <f t="shared" si="4"/>
        <v>#DIV/0!</v>
      </c>
      <c r="S36" s="359">
        <f>SUMIFS('Additional Color Sizes Report'!$R:$R,'Additional Color Sizes Report'!$B:$B,$B36)</f>
        <v>0</v>
      </c>
      <c r="T36" s="344" t="e">
        <f t="shared" si="5"/>
        <v>#DIV/0!</v>
      </c>
      <c r="U36" s="359">
        <f t="shared" si="6"/>
        <v>0</v>
      </c>
      <c r="V36" s="322" t="e">
        <f t="shared" si="7"/>
        <v>#DIV/0!</v>
      </c>
      <c r="W36" s="291">
        <f t="shared" si="8"/>
        <v>0</v>
      </c>
      <c r="X36" s="292">
        <f t="shared" si="9"/>
        <v>0</v>
      </c>
      <c r="Y36" s="359">
        <f t="shared" si="10"/>
        <v>0</v>
      </c>
      <c r="Z36" s="291">
        <f>COUNTIFS('Details-Products'!$C$7:$C$100000,$C36,'Details-Products'!$D$7:$D$100000,$B36,'Details-Products'!$BL$7:$BL$100000,Z$10)</f>
        <v>0</v>
      </c>
      <c r="AA36" s="291">
        <f>COUNTIFS('Details-Products'!$C$7:$C$100000,$C36,'Details-Products'!$D$7:$D$100000,$B36,'Details-Products'!$BL$7:$BL$100000,AA$10,'Details-Products'!$X$7:$X$100000,"YES")</f>
        <v>0</v>
      </c>
      <c r="AB36" s="359">
        <f>SUMIFS('Details-Products'!$Z$7:$Z$100000,'Details-Products'!$C$7:$C$100000,$C36,'Details-Products'!$D$7:$D$100000,$B36,'Details-Products'!$BL$7:$BL$100000,AB$10,'Details-Products'!$X$7:$X$100000,"YES")</f>
        <v>0</v>
      </c>
      <c r="AC36" s="291">
        <f>COUNTIFS('Details-Products'!$C$7:$C$100000,$C36,'Details-Products'!$D$7:$D$100000,$B36,'Details-Products'!$BL$7:$BL$100000,AC$10)</f>
        <v>0</v>
      </c>
      <c r="AD36" s="292">
        <f>COUNTIFS('Details-Products'!$C$7:$C$100000,$C36,'Details-Products'!$D$7:$D$100000,$B36,'Details-Products'!$BL$7:$BL$100000,AD$10,'Details-Products'!$X$7:$X$100000,"YES")</f>
        <v>0</v>
      </c>
      <c r="AE36" s="359">
        <f>SUMIFS('Details-Products'!$Z$7:$Z$100000,'Details-Products'!$C$7:$C$100000,$C36,'Details-Products'!$D$7:$D$100000,$B36,'Details-Products'!$BL$7:$BL$100000,AE$10,'Details-Products'!$X$7:$X$100000,"YES")</f>
        <v>0</v>
      </c>
      <c r="AF36" s="291">
        <f>COUNTIFS('Details-Products'!$C$7:$C$100000,$C36,'Details-Products'!$D$7:$D$100000,$B36,'Details-Products'!$BL$7:$BL$100000,AF$10)</f>
        <v>0</v>
      </c>
      <c r="AG36" s="292">
        <f>COUNTIFS('Details-Products'!$C$7:$C$100000,$C36,'Details-Products'!$D$7:$D$100000,$B36,'Details-Products'!$BL$7:$BL$100000,AG$10,'Details-Products'!$X$7:$X$100000,"YES")</f>
        <v>0</v>
      </c>
      <c r="AH36" s="359">
        <f>SUMIFS('Details-Products'!$Z$7:$Z$100000,'Details-Products'!$C$7:$C$100000,$C36,'Details-Products'!$D$7:$D$100000,$B36,'Details-Products'!$BL$7:$BL$100000,AH$10,'Details-Products'!$X$7:$X$100000,"YES")</f>
        <v>0</v>
      </c>
      <c r="AI36" s="291">
        <f>COUNTIFS('Details-Products'!$C$7:$C$100000,$C36,'Details-Products'!$D$7:$D$100000,$B36,'Details-Products'!$BL$7:$BL$100000,AI$10)</f>
        <v>0</v>
      </c>
      <c r="AJ36" s="292">
        <f>COUNTIFS('Details-Products'!$C$7:$C$100000,$C36,'Details-Products'!$D$7:$D$100000,$B36,'Details-Products'!$BL$7:$BL$100000,AJ$10,'Details-Products'!$X$7:$X$100000,"YES")</f>
        <v>0</v>
      </c>
      <c r="AK36" s="359">
        <f>SUMIFS('Details-Products'!$Z$7:$Z$100000,'Details-Products'!$C$7:$C$100000,$C36,'Details-Products'!$D$7:$D$100000,$B36,'Details-Products'!$BL$7:$BL$100000,AK$10,'Details-Products'!$X$7:$X$100000,"YES")</f>
        <v>0</v>
      </c>
      <c r="AL36" s="291">
        <f t="shared" si="12"/>
        <v>0</v>
      </c>
      <c r="AM36" s="292">
        <f t="shared" si="13"/>
        <v>0</v>
      </c>
      <c r="AN36" s="359">
        <f t="shared" si="14"/>
        <v>0</v>
      </c>
      <c r="AO36" s="292">
        <f>COUNTIFS('Details-Products'!$C$7:$C$100000,$C36,'Details-Products'!$D$7:$D$100000,$B36,'Details-Products'!$BL$7:$BL$100000,AO$10)</f>
        <v>0</v>
      </c>
      <c r="AP36" s="292">
        <f>COUNTIFS('Details-Products'!$C$7:$C$100000,$C36,'Details-Products'!$D$7:$D$100000,$B36,'Details-Products'!$BL$7:$BL$100000,AP$10,'Details-Products'!$X$7:$X$100000,"YES")</f>
        <v>0</v>
      </c>
      <c r="AQ36" s="359">
        <f>SUMIFS('Details-Products'!$Z$7:$Z$100000,'Details-Products'!$C$7:$C$100000,$C36,'Details-Products'!$D$7:$D$100000,$B36,'Details-Products'!$BL$7:$BL$100000,AQ$10,'Details-Products'!$X$7:$X$100000,"YES")</f>
        <v>0</v>
      </c>
      <c r="AR36" s="292">
        <f>COUNTIFS('Details-Products'!$C$7:$C$100000,$C36,'Details-Products'!$D$7:$D$100000,$B36,'Details-Products'!$BL$7:$BL$100000,AR$10)</f>
        <v>0</v>
      </c>
      <c r="AS36" s="292">
        <f>COUNTIFS('Details-Products'!$C$7:$C$100000,$C36,'Details-Products'!$D$7:$D$100000,$B36,'Details-Products'!$BL$7:$BL$100000,AS$10,'Details-Products'!$X$7:$X$100000,"YES")</f>
        <v>0</v>
      </c>
      <c r="AT36" s="359">
        <f>SUMIFS('Details-Products'!$Z$7:$Z$100000,'Details-Products'!$C$7:$C$100000,$C36,'Details-Products'!$D$7:$D$100000,$B36,'Details-Products'!$BL$7:$BL$100000,AT$10,'Details-Products'!$X$7:$X$100000,"YES")</f>
        <v>0</v>
      </c>
      <c r="AU36" s="292">
        <f>COUNTIFS('Details-Products'!$C$7:$C$100000,$C36,'Details-Products'!$D$7:$D$100000,$B36,'Details-Products'!$BL$7:$BL$100000,AU$10)</f>
        <v>0</v>
      </c>
      <c r="AV36" s="292">
        <f>COUNTIFS('Details-Products'!$C$7:$C$100000,$C36,'Details-Products'!$D$7:$D$100000,$B36,'Details-Products'!$BL$7:$BL$100000,AV$10,'Details-Products'!$X$7:$X$100000,"YES")</f>
        <v>0</v>
      </c>
      <c r="AW36" s="359">
        <f>SUMIFS('Details-Products'!$Z$7:$Z$100000,'Details-Products'!$C$7:$C$100000,$C36,'Details-Products'!$D$7:$D$100000,$B36,'Details-Products'!$BL$7:$BL$100000,AW$10,'Details-Products'!$X$7:$X$100000,"YES")</f>
        <v>0</v>
      </c>
      <c r="AX36" s="291">
        <f>COUNTIFS('Details-Products'!$C$7:$C$100000,$C36,'Details-Products'!$D$7:$D$100000,$B36,'Details-Products'!$BL$7:$BL$100000,AX$10)</f>
        <v>0</v>
      </c>
      <c r="AY36" s="292">
        <f>COUNTIFS('Details-Products'!$C$7:$C$100000,$C36,'Details-Products'!$D$7:$D$100000,$B36,'Details-Products'!$BL$7:$BL$100000,AY$10,'Details-Products'!$X$7:$X$100000,"YES")</f>
        <v>0</v>
      </c>
      <c r="AZ36" s="359">
        <f>SUMIFS('Details-Products'!$Z$7:$Z$100000,'Details-Products'!$C$7:$C$100000,$C36,'Details-Products'!$D$7:$D$100000,$B36,'Details-Products'!$BL$7:$BL$100000,AZ$10,'Details-Products'!$X$7:$X$100000,"YES")</f>
        <v>0</v>
      </c>
      <c r="BA36" s="291">
        <f>COUNTIFS('Details-Products'!$C$7:$C$100000,$C36,'Details-Products'!$D$7:$D$100000,$B36,'Details-Products'!$BL$7:$BL$100000,BA$10)</f>
        <v>0</v>
      </c>
      <c r="BB36" s="292">
        <f>COUNTIFS('Details-Products'!$C$7:$C$100000,$C36,'Details-Products'!$D$7:$D$100000,$B36,'Details-Products'!$BL$7:$BL$100000,BB$10,'Details-Products'!$X$7:$X$100000,"YES")</f>
        <v>0</v>
      </c>
      <c r="BC36" s="359">
        <f>SUMIFS('Details-Products'!$Z$7:$Z$100000,'Details-Products'!$C$7:$C$100000,$C36,'Details-Products'!$D$7:$D$100000,$B36,'Details-Products'!$BL$7:$BL$100000,BC$10,'Details-Products'!$X$7:$X$100000,"YES")</f>
        <v>0</v>
      </c>
      <c r="BD36" s="294">
        <f>COUNTIFS('Details-Products'!$C$7:$C$100000,$C36,'Details-Products'!$D$7:$D$100000,$B36,'Details-Products'!$BL$7:$BL$100000,BD$10)</f>
        <v>0</v>
      </c>
      <c r="BE36" s="292">
        <f>COUNTIFS('Details-Products'!$C$7:$C$100000,$C36,'Details-Products'!$D$7:$D$100000,$B36,'Details-Products'!$BL$7:$BL$100000,BE$10,'Details-Products'!$X$7:$X$100000,"YES")</f>
        <v>0</v>
      </c>
      <c r="BF36" s="359">
        <f>SUMIFS('Details-Products'!$Z$7:$Z$100000,'Details-Products'!$C$7:$C$100000,$C36,'Details-Products'!$D$7:$D$100000,$B36,'Details-Products'!$BL$7:$BL$100000,BF$10,'Details-Products'!$X$7:$X$100000,"YES")</f>
        <v>0</v>
      </c>
      <c r="BG36" s="292">
        <f t="shared" si="16"/>
        <v>0</v>
      </c>
      <c r="BH36" s="292">
        <f t="shared" si="17"/>
        <v>0</v>
      </c>
      <c r="BI36" s="359">
        <f t="shared" si="18"/>
        <v>0</v>
      </c>
      <c r="BJ36" s="238"/>
    </row>
    <row r="37" spans="1:62" s="39" customFormat="1" ht="15" x14ac:dyDescent="0.2">
      <c r="B37" s="41">
        <v>64</v>
      </c>
      <c r="C37" s="41">
        <v>3</v>
      </c>
      <c r="D37" s="200" t="s">
        <v>219</v>
      </c>
      <c r="E37" s="295">
        <f>COUNTIFS('Details-Products'!$C$7:$C$100000,$C37,'Details-Products'!$D$7:$D$100000,$B37,'Details-Products'!$BL$7:$BL$100000,E$10)</f>
        <v>0</v>
      </c>
      <c r="F37" s="296">
        <f>COUNTIFS('Details-Products'!$C$7:$C$100000,$C37,'Details-Products'!$D$7:$D$100000,$B37,'Details-Products'!$BL$7:$BL$100000,F$10,'Details-Products'!$X$7:$X$100000,"YES")</f>
        <v>0</v>
      </c>
      <c r="G37" s="359">
        <f>SUMIFS('Details-Products'!$Z$7:$Z$100000,'Details-Products'!$C$7:$C$100000,$C37,'Details-Products'!$D$7:$D$100000,$B37,'Details-Products'!$BL$7:$BL$100000,G$10,'Details-Products'!$X$7:$X$100000,"YES")</f>
        <v>0</v>
      </c>
      <c r="H37" s="295">
        <f>COUNTIFS('Details-Products'!$C$7:$C$100000,$C37,'Details-Products'!$D$7:$D$100000,$B37,'Details-Products'!$BL$7:$BL$100000,H$10)</f>
        <v>0</v>
      </c>
      <c r="I37" s="296">
        <f>COUNTIFS('Details-Products'!$C$7:$C$100000,$C37,'Details-Products'!$D$7:$D$100000,$B37,'Details-Products'!$BL$7:$BL$100000,I$10,'Details-Products'!$X$7:$X$100000,"YES")</f>
        <v>0</v>
      </c>
      <c r="J37" s="359">
        <f>SUMIFS('Details-Products'!$Z$7:$Z$100000,'Details-Products'!$C$7:$C$100000,$C37,'Details-Products'!$D$7:$D$100000,$B37,'Details-Products'!$BL$7:$BL$100000,J$10,'Details-Products'!$X$7:$X$100000,"YES")</f>
        <v>0</v>
      </c>
      <c r="K37" s="295">
        <f>COUNTIFS('Details-Products'!$C$7:$C$100000,$C37,'Details-Products'!$D$7:$D$100000,$B37,'Details-Products'!$BL$7:$BL$100000,K$10)</f>
        <v>0</v>
      </c>
      <c r="L37" s="296">
        <f>COUNTIFS('Details-Products'!$C$7:$C$100000,$C37,'Details-Products'!$D$7:$D$100000,$B37,'Details-Products'!$BL$7:$BL$100000,L$10,'Details-Products'!$X$7:$X$100000,"YES")</f>
        <v>0</v>
      </c>
      <c r="M37" s="359">
        <f>SUMIFS('Details-Products'!$Z$7:$Z$100000,'Details-Products'!$C$7:$C$100000,$C37,'Details-Products'!$D$7:$D$100000,$B37,'Details-Products'!$BL$7:$BL$100000,M$10,'Details-Products'!$X$7:$X$100000,"YES")</f>
        <v>0</v>
      </c>
      <c r="N37" s="466">
        <f t="shared" si="1"/>
        <v>0</v>
      </c>
      <c r="O37" s="302">
        <f t="shared" si="2"/>
        <v>0</v>
      </c>
      <c r="P37" s="354">
        <f t="shared" si="3"/>
        <v>0</v>
      </c>
      <c r="Q37" s="354">
        <f>VLOOKUP(B37,Ttl_Inv!A:E,4,FALSE)</f>
        <v>0</v>
      </c>
      <c r="R37" s="330">
        <v>0</v>
      </c>
      <c r="S37" s="359">
        <f>SUMIFS('Additional Color Sizes Report'!$R:$R,'Additional Color Sizes Report'!$B:$B,$B37)</f>
        <v>0</v>
      </c>
      <c r="T37" s="343">
        <v>0</v>
      </c>
      <c r="U37" s="359">
        <f t="shared" si="6"/>
        <v>0</v>
      </c>
      <c r="V37" s="321">
        <v>0</v>
      </c>
      <c r="W37" s="295">
        <f t="shared" si="8"/>
        <v>0</v>
      </c>
      <c r="X37" s="296">
        <f t="shared" si="9"/>
        <v>0</v>
      </c>
      <c r="Y37" s="359">
        <f t="shared" si="10"/>
        <v>0</v>
      </c>
      <c r="Z37" s="295">
        <f>COUNTIFS('Details-Products'!$C$7:$C$100000,$C37,'Details-Products'!$D$7:$D$100000,$B37,'Details-Products'!$BL$7:$BL$100000,Z$10)</f>
        <v>0</v>
      </c>
      <c r="AA37" s="295">
        <f>COUNTIFS('Details-Products'!$C$7:$C$100000,$C37,'Details-Products'!$D$7:$D$100000,$B37,'Details-Products'!$BL$7:$BL$100000,AA$10,'Details-Products'!$X$7:$X$100000,"YES")</f>
        <v>0</v>
      </c>
      <c r="AB37" s="359">
        <f>SUMIFS('Details-Products'!$Z$7:$Z$100000,'Details-Products'!$C$7:$C$100000,$C37,'Details-Products'!$D$7:$D$100000,$B37,'Details-Products'!$BL$7:$BL$100000,AB$10,'Details-Products'!$X$7:$X$100000,"YES")</f>
        <v>0</v>
      </c>
      <c r="AC37" s="295">
        <f>COUNTIFS('Details-Products'!$C$7:$C$100000,$C37,'Details-Products'!$D$7:$D$100000,$B37,'Details-Products'!$BL$7:$BL$100000,AC$10)</f>
        <v>0</v>
      </c>
      <c r="AD37" s="296">
        <f>COUNTIFS('Details-Products'!$C$7:$C$100000,$C37,'Details-Products'!$D$7:$D$100000,$B37,'Details-Products'!$BL$7:$BL$100000,AD$10,'Details-Products'!$X$7:$X$100000,"YES")</f>
        <v>0</v>
      </c>
      <c r="AE37" s="359">
        <f>SUMIFS('Details-Products'!$Z$7:$Z$100000,'Details-Products'!$C$7:$C$100000,$C37,'Details-Products'!$D$7:$D$100000,$B37,'Details-Products'!$BL$7:$BL$100000,AE$10,'Details-Products'!$X$7:$X$100000,"YES")</f>
        <v>0</v>
      </c>
      <c r="AF37" s="295">
        <f>COUNTIFS('Details-Products'!$C$7:$C$100000,$C37,'Details-Products'!$D$7:$D$100000,$B37,'Details-Products'!$BL$7:$BL$100000,AF$10)</f>
        <v>0</v>
      </c>
      <c r="AG37" s="296">
        <f>COUNTIFS('Details-Products'!$C$7:$C$100000,$C37,'Details-Products'!$D$7:$D$100000,$B37,'Details-Products'!$BL$7:$BL$100000,AG$10,'Details-Products'!$X$7:$X$100000,"YES")</f>
        <v>0</v>
      </c>
      <c r="AH37" s="359">
        <f>SUMIFS('Details-Products'!$Z$7:$Z$100000,'Details-Products'!$C$7:$C$100000,$C37,'Details-Products'!$D$7:$D$100000,$B37,'Details-Products'!$BL$7:$BL$100000,AH$10,'Details-Products'!$X$7:$X$100000,"YES")</f>
        <v>0</v>
      </c>
      <c r="AI37" s="295">
        <f>COUNTIFS('Details-Products'!$C$7:$C$100000,$C37,'Details-Products'!$D$7:$D$100000,$B37,'Details-Products'!$BL$7:$BL$100000,AI$10)</f>
        <v>0</v>
      </c>
      <c r="AJ37" s="296">
        <f>COUNTIFS('Details-Products'!$C$7:$C$100000,$C37,'Details-Products'!$D$7:$D$100000,$B37,'Details-Products'!$BL$7:$BL$100000,AJ$10,'Details-Products'!$X$7:$X$100000,"YES")</f>
        <v>0</v>
      </c>
      <c r="AK37" s="359">
        <f>SUMIFS('Details-Products'!$Z$7:$Z$100000,'Details-Products'!$C$7:$C$100000,$C37,'Details-Products'!$D$7:$D$100000,$B37,'Details-Products'!$BL$7:$BL$100000,AK$10,'Details-Products'!$X$7:$X$100000,"YES")</f>
        <v>0</v>
      </c>
      <c r="AL37" s="295">
        <f t="shared" si="12"/>
        <v>0</v>
      </c>
      <c r="AM37" s="296">
        <f t="shared" si="13"/>
        <v>0</v>
      </c>
      <c r="AN37" s="359">
        <f t="shared" si="14"/>
        <v>0</v>
      </c>
      <c r="AO37" s="296">
        <f>COUNTIFS('Details-Products'!$C$7:$C$100000,$C37,'Details-Products'!$D$7:$D$100000,$B37,'Details-Products'!$BL$7:$BL$100000,AO$10)</f>
        <v>0</v>
      </c>
      <c r="AP37" s="296">
        <f>COUNTIFS('Details-Products'!$C$7:$C$100000,$C37,'Details-Products'!$D$7:$D$100000,$B37,'Details-Products'!$BL$7:$BL$100000,AP$10,'Details-Products'!$X$7:$X$100000,"YES")</f>
        <v>0</v>
      </c>
      <c r="AQ37" s="359">
        <f>SUMIFS('Details-Products'!$Z$7:$Z$100000,'Details-Products'!$C$7:$C$100000,$C37,'Details-Products'!$D$7:$D$100000,$B37,'Details-Products'!$BL$7:$BL$100000,AQ$10,'Details-Products'!$X$7:$X$100000,"YES")</f>
        <v>0</v>
      </c>
      <c r="AR37" s="296">
        <f>COUNTIFS('Details-Products'!$C$7:$C$100000,$C37,'Details-Products'!$D$7:$D$100000,$B37,'Details-Products'!$BL$7:$BL$100000,AR$10)</f>
        <v>0</v>
      </c>
      <c r="AS37" s="296">
        <f>COUNTIFS('Details-Products'!$C$7:$C$100000,$C37,'Details-Products'!$D$7:$D$100000,$B37,'Details-Products'!$BL$7:$BL$100000,AS$10,'Details-Products'!$X$7:$X$100000,"YES")</f>
        <v>0</v>
      </c>
      <c r="AT37" s="359">
        <f>SUMIFS('Details-Products'!$Z$7:$Z$100000,'Details-Products'!$C$7:$C$100000,$C37,'Details-Products'!$D$7:$D$100000,$B37,'Details-Products'!$BL$7:$BL$100000,AT$10,'Details-Products'!$X$7:$X$100000,"YES")</f>
        <v>0</v>
      </c>
      <c r="AU37" s="296">
        <f>COUNTIFS('Details-Products'!$C$7:$C$100000,$C37,'Details-Products'!$D$7:$D$100000,$B37,'Details-Products'!$BL$7:$BL$100000,AU$10)</f>
        <v>0</v>
      </c>
      <c r="AV37" s="296">
        <f>COUNTIFS('Details-Products'!$C$7:$C$100000,$C37,'Details-Products'!$D$7:$D$100000,$B37,'Details-Products'!$BL$7:$BL$100000,AV$10,'Details-Products'!$X$7:$X$100000,"YES")</f>
        <v>0</v>
      </c>
      <c r="AW37" s="359">
        <f>SUMIFS('Details-Products'!$Z$7:$Z$100000,'Details-Products'!$C$7:$C$100000,$C37,'Details-Products'!$D$7:$D$100000,$B37,'Details-Products'!$BL$7:$BL$100000,AW$10,'Details-Products'!$X$7:$X$100000,"YES")</f>
        <v>0</v>
      </c>
      <c r="AX37" s="295">
        <f>COUNTIFS('Details-Products'!$C$7:$C$100000,$C37,'Details-Products'!$D$7:$D$100000,$B37,'Details-Products'!$BL$7:$BL$100000,AX$10)</f>
        <v>0</v>
      </c>
      <c r="AY37" s="296">
        <f>COUNTIFS('Details-Products'!$C$7:$C$100000,$C37,'Details-Products'!$D$7:$D$100000,$B37,'Details-Products'!$BL$7:$BL$100000,AY$10,'Details-Products'!$X$7:$X$100000,"YES")</f>
        <v>0</v>
      </c>
      <c r="AZ37" s="359">
        <f>SUMIFS('Details-Products'!$Z$7:$Z$100000,'Details-Products'!$C$7:$C$100000,$C37,'Details-Products'!$D$7:$D$100000,$B37,'Details-Products'!$BL$7:$BL$100000,AZ$10,'Details-Products'!$X$7:$X$100000,"YES")</f>
        <v>0</v>
      </c>
      <c r="BA37" s="295">
        <f>COUNTIFS('Details-Products'!$C$7:$C$100000,$C37,'Details-Products'!$D$7:$D$100000,$B37,'Details-Products'!$BL$7:$BL$100000,BA$10)</f>
        <v>0</v>
      </c>
      <c r="BB37" s="296">
        <f>COUNTIFS('Details-Products'!$C$7:$C$100000,$C37,'Details-Products'!$D$7:$D$100000,$B37,'Details-Products'!$BL$7:$BL$100000,BB$10,'Details-Products'!$X$7:$X$100000,"YES")</f>
        <v>0</v>
      </c>
      <c r="BC37" s="359">
        <f>SUMIFS('Details-Products'!$Z$7:$Z$100000,'Details-Products'!$C$7:$C$100000,$C37,'Details-Products'!$D$7:$D$100000,$B37,'Details-Products'!$BL$7:$BL$100000,BC$10,'Details-Products'!$X$7:$X$100000,"YES")</f>
        <v>0</v>
      </c>
      <c r="BD37" s="298">
        <f>COUNTIFS('Details-Products'!$C$7:$C$100000,$C37,'Details-Products'!$D$7:$D$100000,$B37,'Details-Products'!$BL$7:$BL$100000,BD$10)</f>
        <v>0</v>
      </c>
      <c r="BE37" s="296">
        <f>COUNTIFS('Details-Products'!$C$7:$C$100000,$C37,'Details-Products'!$D$7:$D$100000,$B37,'Details-Products'!$BL$7:$BL$100000,BE$10,'Details-Products'!$X$7:$X$100000,"YES")</f>
        <v>0</v>
      </c>
      <c r="BF37" s="359">
        <f>SUMIFS('Details-Products'!$Z$7:$Z$100000,'Details-Products'!$C$7:$C$100000,$C37,'Details-Products'!$D$7:$D$100000,$B37,'Details-Products'!$BL$7:$BL$100000,BF$10,'Details-Products'!$X$7:$X$100000,"YES")</f>
        <v>0</v>
      </c>
      <c r="BG37" s="296">
        <f t="shared" si="16"/>
        <v>0</v>
      </c>
      <c r="BH37" s="296">
        <f t="shared" si="17"/>
        <v>0</v>
      </c>
      <c r="BI37" s="359">
        <f t="shared" si="18"/>
        <v>0</v>
      </c>
      <c r="BJ37" s="238"/>
    </row>
    <row r="38" spans="1:62" ht="15.75" thickBot="1" x14ac:dyDescent="0.25">
      <c r="A38" s="39"/>
      <c r="B38" s="41">
        <v>66</v>
      </c>
      <c r="C38" s="41">
        <v>3</v>
      </c>
      <c r="D38" s="199" t="s">
        <v>151</v>
      </c>
      <c r="E38" s="291">
        <f>COUNTIFS('Details-Products'!$C$7:$C$100000,$C38,'Details-Products'!$D$7:$D$100000,$B38,'Details-Products'!$BL$7:$BL$100000,E$10)</f>
        <v>0</v>
      </c>
      <c r="F38" s="292">
        <f>COUNTIFS('Details-Products'!$C$7:$C$100000,$C38,'Details-Products'!$D$7:$D$100000,$B38,'Details-Products'!$BL$7:$BL$100000,F$10,'Details-Products'!$X$7:$X$100000,"YES")</f>
        <v>0</v>
      </c>
      <c r="G38" s="360">
        <f>SUMIFS('Details-Products'!$Z$7:$Z$100000,'Details-Products'!$C$7:$C$100000,$C38,'Details-Products'!$D$7:$D$100000,$B38,'Details-Products'!$BL$7:$BL$100000,G$10,'Details-Products'!$X$7:$X$100000,"YES")</f>
        <v>0</v>
      </c>
      <c r="H38" s="291">
        <f>COUNTIFS('Details-Products'!$C$7:$C$100000,$C38,'Details-Products'!$D$7:$D$100000,$B38,'Details-Products'!$BL$7:$BL$100000,H$10)</f>
        <v>0</v>
      </c>
      <c r="I38" s="292">
        <f>COUNTIFS('Details-Products'!$C$7:$C$100000,$C38,'Details-Products'!$D$7:$D$100000,$B38,'Details-Products'!$BL$7:$BL$100000,I$10,'Details-Products'!$X$7:$X$100000,"YES")</f>
        <v>0</v>
      </c>
      <c r="J38" s="360">
        <f>SUMIFS('Details-Products'!$Z$7:$Z$100000,'Details-Products'!$C$7:$C$100000,$C38,'Details-Products'!$D$7:$D$100000,$B38,'Details-Products'!$BL$7:$BL$100000,J$10,'Details-Products'!$X$7:$X$100000,"YES")</f>
        <v>0</v>
      </c>
      <c r="K38" s="291">
        <f>COUNTIFS('Details-Products'!$C$7:$C$100000,$C38,'Details-Products'!$D$7:$D$100000,$B38,'Details-Products'!$BL$7:$BL$100000,K$10)</f>
        <v>0</v>
      </c>
      <c r="L38" s="292">
        <f>COUNTIFS('Details-Products'!$C$7:$C$100000,$C38,'Details-Products'!$D$7:$D$100000,$B38,'Details-Products'!$BL$7:$BL$100000,L$10,'Details-Products'!$X$7:$X$100000,"YES")</f>
        <v>0</v>
      </c>
      <c r="M38" s="360">
        <f>SUMIFS('Details-Products'!$Z$7:$Z$100000,'Details-Products'!$C$7:$C$100000,$C38,'Details-Products'!$D$7:$D$100000,$B38,'Details-Products'!$BL$7:$BL$100000,M$10,'Details-Products'!$X$7:$X$100000,"YES")</f>
        <v>0</v>
      </c>
      <c r="N38" s="467">
        <f t="shared" si="1"/>
        <v>0</v>
      </c>
      <c r="O38" s="303">
        <f t="shared" si="2"/>
        <v>0</v>
      </c>
      <c r="P38" s="355">
        <f t="shared" si="3"/>
        <v>0</v>
      </c>
      <c r="Q38" s="355">
        <f>VLOOKUP(B38,Ttl_Inv!A:E,4,FALSE)</f>
        <v>0</v>
      </c>
      <c r="R38" s="331" t="e">
        <f t="shared" ref="R38:R53" si="25">P38/Q38</f>
        <v>#DIV/0!</v>
      </c>
      <c r="S38" s="360">
        <f>SUMIFS('Additional Color Sizes Report'!$R:$R,'Additional Color Sizes Report'!$B:$B,$B38)</f>
        <v>0</v>
      </c>
      <c r="T38" s="345" t="e">
        <f t="shared" ref="T38:T53" si="26">S38/$Q38</f>
        <v>#DIV/0!</v>
      </c>
      <c r="U38" s="360">
        <f t="shared" si="6"/>
        <v>0</v>
      </c>
      <c r="V38" s="322" t="e">
        <f t="shared" ref="V38:V53" si="27">U38/Q38</f>
        <v>#DIV/0!</v>
      </c>
      <c r="W38" s="291">
        <f t="shared" si="8"/>
        <v>0</v>
      </c>
      <c r="X38" s="292">
        <f t="shared" si="9"/>
        <v>0</v>
      </c>
      <c r="Y38" s="360">
        <f t="shared" si="10"/>
        <v>0</v>
      </c>
      <c r="Z38" s="291">
        <f>COUNTIFS('Details-Products'!$C$7:$C$100000,$C38,'Details-Products'!$D$7:$D$100000,$B38,'Details-Products'!$BL$7:$BL$100000,Z$10)</f>
        <v>0</v>
      </c>
      <c r="AA38" s="291">
        <f>COUNTIFS('Details-Products'!$C$7:$C$100000,$C38,'Details-Products'!$D$7:$D$100000,$B38,'Details-Products'!$BL$7:$BL$100000,AA$10,'Details-Products'!$X$7:$X$100000,"YES")</f>
        <v>0</v>
      </c>
      <c r="AB38" s="360">
        <f>SUMIFS('Details-Products'!$Z$7:$Z$100000,'Details-Products'!$C$7:$C$100000,$C38,'Details-Products'!$D$7:$D$100000,$B38,'Details-Products'!$BL$7:$BL$100000,AB$10,'Details-Products'!$X$7:$X$100000,"YES")</f>
        <v>0</v>
      </c>
      <c r="AC38" s="291">
        <f>COUNTIFS('Details-Products'!$C$7:$C$100000,$C38,'Details-Products'!$D$7:$D$100000,$B38,'Details-Products'!$BL$7:$BL$100000,AC$10)</f>
        <v>0</v>
      </c>
      <c r="AD38" s="292">
        <f>COUNTIFS('Details-Products'!$C$7:$C$100000,$C38,'Details-Products'!$D$7:$D$100000,$B38,'Details-Products'!$BL$7:$BL$100000,AD$10,'Details-Products'!$X$7:$X$100000,"YES")</f>
        <v>0</v>
      </c>
      <c r="AE38" s="360">
        <f>SUMIFS('Details-Products'!$Z$7:$Z$100000,'Details-Products'!$C$7:$C$100000,$C38,'Details-Products'!$D$7:$D$100000,$B38,'Details-Products'!$BL$7:$BL$100000,AE$10,'Details-Products'!$X$7:$X$100000,"YES")</f>
        <v>0</v>
      </c>
      <c r="AF38" s="291">
        <f>COUNTIFS('Details-Products'!$C$7:$C$100000,$C38,'Details-Products'!$D$7:$D$100000,$B38,'Details-Products'!$BL$7:$BL$100000,AF$10)</f>
        <v>0</v>
      </c>
      <c r="AG38" s="292">
        <f>COUNTIFS('Details-Products'!$C$7:$C$100000,$C38,'Details-Products'!$D$7:$D$100000,$B38,'Details-Products'!$BL$7:$BL$100000,AG$10,'Details-Products'!$X$7:$X$100000,"YES")</f>
        <v>0</v>
      </c>
      <c r="AH38" s="360">
        <f>SUMIFS('Details-Products'!$Z$7:$Z$100000,'Details-Products'!$C$7:$C$100000,$C38,'Details-Products'!$D$7:$D$100000,$B38,'Details-Products'!$BL$7:$BL$100000,AH$10,'Details-Products'!$X$7:$X$100000,"YES")</f>
        <v>0</v>
      </c>
      <c r="AI38" s="291">
        <f>COUNTIFS('Details-Products'!$C$7:$C$100000,$C38,'Details-Products'!$D$7:$D$100000,$B38,'Details-Products'!$BL$7:$BL$100000,AI$10)</f>
        <v>0</v>
      </c>
      <c r="AJ38" s="292">
        <f>COUNTIFS('Details-Products'!$C$7:$C$100000,$C38,'Details-Products'!$D$7:$D$100000,$B38,'Details-Products'!$BL$7:$BL$100000,AJ$10,'Details-Products'!$X$7:$X$100000,"YES")</f>
        <v>0</v>
      </c>
      <c r="AK38" s="360">
        <f>SUMIFS('Details-Products'!$Z$7:$Z$100000,'Details-Products'!$C$7:$C$100000,$C38,'Details-Products'!$D$7:$D$100000,$B38,'Details-Products'!$BL$7:$BL$100000,AK$10,'Details-Products'!$X$7:$X$100000,"YES")</f>
        <v>0</v>
      </c>
      <c r="AL38" s="291">
        <f t="shared" si="12"/>
        <v>0</v>
      </c>
      <c r="AM38" s="292">
        <f t="shared" si="13"/>
        <v>0</v>
      </c>
      <c r="AN38" s="360">
        <f t="shared" si="14"/>
        <v>0</v>
      </c>
      <c r="AO38" s="292">
        <f>COUNTIFS('Details-Products'!$C$7:$C$100000,$C38,'Details-Products'!$D$7:$D$100000,$B38,'Details-Products'!$BL$7:$BL$100000,AO$10)</f>
        <v>0</v>
      </c>
      <c r="AP38" s="292">
        <f>COUNTIFS('Details-Products'!$C$7:$C$100000,$C38,'Details-Products'!$D$7:$D$100000,$B38,'Details-Products'!$BL$7:$BL$100000,AP$10,'Details-Products'!$X$7:$X$100000,"YES")</f>
        <v>0</v>
      </c>
      <c r="AQ38" s="360">
        <f>SUMIFS('Details-Products'!$Z$7:$Z$100000,'Details-Products'!$C$7:$C$100000,$C38,'Details-Products'!$D$7:$D$100000,$B38,'Details-Products'!$BL$7:$BL$100000,AQ$10,'Details-Products'!$X$7:$X$100000,"YES")</f>
        <v>0</v>
      </c>
      <c r="AR38" s="292">
        <f>COUNTIFS('Details-Products'!$C$7:$C$100000,$C38,'Details-Products'!$D$7:$D$100000,$B38,'Details-Products'!$BL$7:$BL$100000,AR$10)</f>
        <v>0</v>
      </c>
      <c r="AS38" s="292">
        <f>COUNTIFS('Details-Products'!$C$7:$C$100000,$C38,'Details-Products'!$D$7:$D$100000,$B38,'Details-Products'!$BL$7:$BL$100000,AS$10,'Details-Products'!$X$7:$X$100000,"YES")</f>
        <v>0</v>
      </c>
      <c r="AT38" s="360">
        <f>SUMIFS('Details-Products'!$Z$7:$Z$100000,'Details-Products'!$C$7:$C$100000,$C38,'Details-Products'!$D$7:$D$100000,$B38,'Details-Products'!$BL$7:$BL$100000,AT$10,'Details-Products'!$X$7:$X$100000,"YES")</f>
        <v>0</v>
      </c>
      <c r="AU38" s="292">
        <f>COUNTIFS('Details-Products'!$C$7:$C$100000,$C38,'Details-Products'!$D$7:$D$100000,$B38,'Details-Products'!$BL$7:$BL$100000,AU$10)</f>
        <v>0</v>
      </c>
      <c r="AV38" s="292">
        <f>COUNTIFS('Details-Products'!$C$7:$C$100000,$C38,'Details-Products'!$D$7:$D$100000,$B38,'Details-Products'!$BL$7:$BL$100000,AV$10,'Details-Products'!$X$7:$X$100000,"YES")</f>
        <v>0</v>
      </c>
      <c r="AW38" s="360">
        <f>SUMIFS('Details-Products'!$Z$7:$Z$100000,'Details-Products'!$C$7:$C$100000,$C38,'Details-Products'!$D$7:$D$100000,$B38,'Details-Products'!$BL$7:$BL$100000,AW$10,'Details-Products'!$X$7:$X$100000,"YES")</f>
        <v>0</v>
      </c>
      <c r="AX38" s="291">
        <f>COUNTIFS('Details-Products'!$C$7:$C$100000,$C38,'Details-Products'!$D$7:$D$100000,$B38,'Details-Products'!$BL$7:$BL$100000,AX$10)</f>
        <v>0</v>
      </c>
      <c r="AY38" s="292">
        <f>COUNTIFS('Details-Products'!$C$7:$C$100000,$C38,'Details-Products'!$D$7:$D$100000,$B38,'Details-Products'!$BL$7:$BL$100000,AY$10,'Details-Products'!$X$7:$X$100000,"YES")</f>
        <v>0</v>
      </c>
      <c r="AZ38" s="360">
        <f>SUMIFS('Details-Products'!$Z$7:$Z$100000,'Details-Products'!$C$7:$C$100000,$C38,'Details-Products'!$D$7:$D$100000,$B38,'Details-Products'!$BL$7:$BL$100000,AZ$10,'Details-Products'!$X$7:$X$100000,"YES")</f>
        <v>0</v>
      </c>
      <c r="BA38" s="291">
        <f>COUNTIFS('Details-Products'!$C$7:$C$100000,$C38,'Details-Products'!$D$7:$D$100000,$B38,'Details-Products'!$BL$7:$BL$100000,BA$10)</f>
        <v>0</v>
      </c>
      <c r="BB38" s="292">
        <f>COUNTIFS('Details-Products'!$C$7:$C$100000,$C38,'Details-Products'!$D$7:$D$100000,$B38,'Details-Products'!$BL$7:$BL$100000,BB$10,'Details-Products'!$X$7:$X$100000,"YES")</f>
        <v>0</v>
      </c>
      <c r="BC38" s="360">
        <f>SUMIFS('Details-Products'!$Z$7:$Z$100000,'Details-Products'!$C$7:$C$100000,$C38,'Details-Products'!$D$7:$D$100000,$B38,'Details-Products'!$BL$7:$BL$100000,BC$10,'Details-Products'!$X$7:$X$100000,"YES")</f>
        <v>0</v>
      </c>
      <c r="BD38" s="294">
        <f>COUNTIFS('Details-Products'!$C$7:$C$100000,$C38,'Details-Products'!$D$7:$D$100000,$B38,'Details-Products'!$BL$7:$BL$100000,BD$10)</f>
        <v>0</v>
      </c>
      <c r="BE38" s="292">
        <f>COUNTIFS('Details-Products'!$C$7:$C$100000,$C38,'Details-Products'!$D$7:$D$100000,$B38,'Details-Products'!$BL$7:$BL$100000,BE$10,'Details-Products'!$X$7:$X$100000,"YES")</f>
        <v>0</v>
      </c>
      <c r="BF38" s="360">
        <f>SUMIFS('Details-Products'!$Z$7:$Z$100000,'Details-Products'!$C$7:$C$100000,$C38,'Details-Products'!$D$7:$D$100000,$B38,'Details-Products'!$BL$7:$BL$100000,BF$10,'Details-Products'!$X$7:$X$100000,"YES")</f>
        <v>0</v>
      </c>
      <c r="BG38" s="292">
        <f t="shared" si="16"/>
        <v>0</v>
      </c>
      <c r="BH38" s="292">
        <f t="shared" si="17"/>
        <v>0</v>
      </c>
      <c r="BI38" s="360">
        <f t="shared" si="18"/>
        <v>0</v>
      </c>
      <c r="BJ38" s="240"/>
    </row>
    <row r="39" spans="1:62" ht="16.5" thickBot="1" x14ac:dyDescent="0.25">
      <c r="B39" s="41"/>
      <c r="C39" s="41">
        <v>6</v>
      </c>
      <c r="D39" s="201" t="s">
        <v>152</v>
      </c>
      <c r="E39" s="285">
        <f t="shared" ref="E39:M39" si="28">SUM(E40:E45)</f>
        <v>0</v>
      </c>
      <c r="F39" s="286">
        <f t="shared" si="28"/>
        <v>0</v>
      </c>
      <c r="G39" s="361">
        <f t="shared" si="28"/>
        <v>0</v>
      </c>
      <c r="H39" s="285">
        <f t="shared" si="28"/>
        <v>0</v>
      </c>
      <c r="I39" s="286">
        <f t="shared" si="28"/>
        <v>0</v>
      </c>
      <c r="J39" s="361">
        <f t="shared" si="28"/>
        <v>0</v>
      </c>
      <c r="K39" s="285">
        <f t="shared" si="28"/>
        <v>0</v>
      </c>
      <c r="L39" s="286">
        <f t="shared" si="28"/>
        <v>0</v>
      </c>
      <c r="M39" s="361">
        <f t="shared" si="28"/>
        <v>0</v>
      </c>
      <c r="N39" s="464">
        <f t="shared" si="1"/>
        <v>0</v>
      </c>
      <c r="O39" s="287">
        <f t="shared" si="2"/>
        <v>0</v>
      </c>
      <c r="P39" s="351">
        <f t="shared" si="3"/>
        <v>0</v>
      </c>
      <c r="Q39" s="351">
        <f>SUM(Q40:Q45)</f>
        <v>0</v>
      </c>
      <c r="R39" s="325" t="e">
        <f t="shared" si="25"/>
        <v>#DIV/0!</v>
      </c>
      <c r="S39" s="361">
        <f>SUM(S40:S45)</f>
        <v>0</v>
      </c>
      <c r="T39" s="338" t="e">
        <f t="shared" si="26"/>
        <v>#DIV/0!</v>
      </c>
      <c r="U39" s="361">
        <f t="shared" si="6"/>
        <v>0</v>
      </c>
      <c r="V39" s="319" t="e">
        <f t="shared" si="27"/>
        <v>#DIV/0!</v>
      </c>
      <c r="W39" s="288">
        <f t="shared" si="8"/>
        <v>0</v>
      </c>
      <c r="X39" s="289">
        <f t="shared" si="9"/>
        <v>0</v>
      </c>
      <c r="Y39" s="361">
        <f t="shared" si="10"/>
        <v>0</v>
      </c>
      <c r="Z39" s="288">
        <f t="shared" ref="Z39:AK39" si="29">SUM(Z40:Z45)</f>
        <v>0</v>
      </c>
      <c r="AA39" s="288">
        <f t="shared" si="29"/>
        <v>0</v>
      </c>
      <c r="AB39" s="361">
        <f t="shared" si="29"/>
        <v>0</v>
      </c>
      <c r="AC39" s="288">
        <f t="shared" si="29"/>
        <v>0</v>
      </c>
      <c r="AD39" s="289">
        <f t="shared" si="29"/>
        <v>0</v>
      </c>
      <c r="AE39" s="361">
        <f t="shared" si="29"/>
        <v>0</v>
      </c>
      <c r="AF39" s="288">
        <f t="shared" si="29"/>
        <v>0</v>
      </c>
      <c r="AG39" s="289">
        <f t="shared" si="29"/>
        <v>0</v>
      </c>
      <c r="AH39" s="361">
        <f t="shared" si="29"/>
        <v>0</v>
      </c>
      <c r="AI39" s="288">
        <f t="shared" si="29"/>
        <v>0</v>
      </c>
      <c r="AJ39" s="289">
        <f t="shared" si="29"/>
        <v>0</v>
      </c>
      <c r="AK39" s="361">
        <f t="shared" si="29"/>
        <v>0</v>
      </c>
      <c r="AL39" s="288">
        <f t="shared" si="12"/>
        <v>0</v>
      </c>
      <c r="AM39" s="289">
        <f t="shared" si="13"/>
        <v>0</v>
      </c>
      <c r="AN39" s="361">
        <f t="shared" si="14"/>
        <v>0</v>
      </c>
      <c r="AO39" s="289">
        <f t="shared" ref="AO39:BF39" si="30">SUM(AO40:AO45)</f>
        <v>0</v>
      </c>
      <c r="AP39" s="289">
        <f t="shared" si="30"/>
        <v>0</v>
      </c>
      <c r="AQ39" s="361">
        <f t="shared" si="30"/>
        <v>0</v>
      </c>
      <c r="AR39" s="289">
        <f t="shared" si="30"/>
        <v>0</v>
      </c>
      <c r="AS39" s="289">
        <f t="shared" si="30"/>
        <v>0</v>
      </c>
      <c r="AT39" s="361">
        <f t="shared" si="30"/>
        <v>0</v>
      </c>
      <c r="AU39" s="289">
        <f t="shared" si="30"/>
        <v>0</v>
      </c>
      <c r="AV39" s="289">
        <f t="shared" si="30"/>
        <v>0</v>
      </c>
      <c r="AW39" s="361">
        <f t="shared" si="30"/>
        <v>0</v>
      </c>
      <c r="AX39" s="288">
        <f t="shared" si="30"/>
        <v>0</v>
      </c>
      <c r="AY39" s="289">
        <f t="shared" si="30"/>
        <v>0</v>
      </c>
      <c r="AZ39" s="361">
        <f t="shared" si="30"/>
        <v>0</v>
      </c>
      <c r="BA39" s="288">
        <f t="shared" si="30"/>
        <v>0</v>
      </c>
      <c r="BB39" s="289">
        <f t="shared" si="30"/>
        <v>0</v>
      </c>
      <c r="BC39" s="361">
        <f t="shared" si="30"/>
        <v>0</v>
      </c>
      <c r="BD39" s="290">
        <f t="shared" si="30"/>
        <v>0</v>
      </c>
      <c r="BE39" s="289">
        <f t="shared" si="30"/>
        <v>0</v>
      </c>
      <c r="BF39" s="361">
        <f t="shared" si="30"/>
        <v>0</v>
      </c>
      <c r="BG39" s="289">
        <f t="shared" si="16"/>
        <v>0</v>
      </c>
      <c r="BH39" s="289">
        <f t="shared" si="17"/>
        <v>0</v>
      </c>
      <c r="BI39" s="361">
        <f t="shared" si="18"/>
        <v>0</v>
      </c>
      <c r="BJ39" s="240"/>
    </row>
    <row r="40" spans="1:62" ht="15.75" thickBot="1" x14ac:dyDescent="0.25">
      <c r="A40" s="59" t="s">
        <v>198</v>
      </c>
      <c r="B40" s="41">
        <v>13</v>
      </c>
      <c r="C40" s="41">
        <v>6</v>
      </c>
      <c r="D40" s="199" t="s">
        <v>153</v>
      </c>
      <c r="E40" s="291">
        <f>COUNTIFS('Details-Products'!$C$7:$C$100000,$C40,'Details-Products'!$D$7:$D$100000,$B40,'Details-Products'!$BL$7:$BL$100000,E$10)</f>
        <v>0</v>
      </c>
      <c r="F40" s="292">
        <f>COUNTIFS('Details-Products'!$C$7:$C$100000,$C40,'Details-Products'!$D$7:$D$100000,$B40,'Details-Products'!$BL$7:$BL$100000,F$10,'Details-Products'!$X$7:$X$100000,"YES")</f>
        <v>0</v>
      </c>
      <c r="G40" s="360">
        <f>SUMIFS('Details-Products'!$Z$7:$Z$100000,'Details-Products'!$C$7:$C$100000,$C40,'Details-Products'!$D$7:$D$100000,$B40,'Details-Products'!$BL$7:$BL$100000,G$10,'Details-Products'!$X$7:$X$100000,"YES")</f>
        <v>0</v>
      </c>
      <c r="H40" s="291">
        <f>COUNTIFS('Details-Products'!$C$7:$C$100000,$C40,'Details-Products'!$D$7:$D$100000,$B40,'Details-Products'!$BL$7:$BL$100000,H$10)</f>
        <v>0</v>
      </c>
      <c r="I40" s="292">
        <f>COUNTIFS('Details-Products'!$C$7:$C$100000,$C40,'Details-Products'!$D$7:$D$100000,$B40,'Details-Products'!$BL$7:$BL$100000,I$10,'Details-Products'!$X$7:$X$100000,"YES")</f>
        <v>0</v>
      </c>
      <c r="J40" s="360">
        <f>SUMIFS('Details-Products'!$Z$7:$Z$100000,'Details-Products'!$C$7:$C$100000,$C40,'Details-Products'!$D$7:$D$100000,$B40,'Details-Products'!$BL$7:$BL$100000,J$10,'Details-Products'!$X$7:$X$100000,"YES")</f>
        <v>0</v>
      </c>
      <c r="K40" s="291">
        <f>COUNTIFS('Details-Products'!$C$7:$C$100000,$C40,'Details-Products'!$D$7:$D$100000,$B40,'Details-Products'!$BL$7:$BL$100000,K$10)</f>
        <v>0</v>
      </c>
      <c r="L40" s="292">
        <f>COUNTIFS('Details-Products'!$C$7:$C$100000,$C40,'Details-Products'!$D$7:$D$100000,$B40,'Details-Products'!$BL$7:$BL$100000,L$10,'Details-Products'!$X$7:$X$100000,"YES")</f>
        <v>0</v>
      </c>
      <c r="M40" s="360">
        <f>SUMIFS('Details-Products'!$Z$7:$Z$100000,'Details-Products'!$C$7:$C$100000,$C40,'Details-Products'!$D$7:$D$100000,$B40,'Details-Products'!$BL$7:$BL$100000,M$10,'Details-Products'!$X$7:$X$100000,"YES")</f>
        <v>0</v>
      </c>
      <c r="N40" s="467">
        <f t="shared" si="1"/>
        <v>0</v>
      </c>
      <c r="O40" s="303">
        <f t="shared" si="2"/>
        <v>0</v>
      </c>
      <c r="P40" s="355">
        <f t="shared" si="3"/>
        <v>0</v>
      </c>
      <c r="Q40" s="355">
        <f>VLOOKUP(B40,Ttl_Inv!A:E,4,FALSE)</f>
        <v>0</v>
      </c>
      <c r="R40" s="331" t="e">
        <f t="shared" si="25"/>
        <v>#DIV/0!</v>
      </c>
      <c r="S40" s="360">
        <f>SUMIFS('Additional Color Sizes Report'!$R:$R,'Additional Color Sizes Report'!$B:$B,$B40)</f>
        <v>0</v>
      </c>
      <c r="T40" s="342" t="e">
        <f t="shared" si="26"/>
        <v>#DIV/0!</v>
      </c>
      <c r="U40" s="360">
        <f t="shared" si="6"/>
        <v>0</v>
      </c>
      <c r="V40" s="322" t="e">
        <f t="shared" si="27"/>
        <v>#DIV/0!</v>
      </c>
      <c r="W40" s="291">
        <f t="shared" si="8"/>
        <v>0</v>
      </c>
      <c r="X40" s="292">
        <f t="shared" si="9"/>
        <v>0</v>
      </c>
      <c r="Y40" s="360">
        <f t="shared" si="10"/>
        <v>0</v>
      </c>
      <c r="Z40" s="291">
        <f>COUNTIFS('Details-Products'!$C$7:$C$100000,$C40,'Details-Products'!$D$7:$D$100000,$B40,'Details-Products'!$BL$7:$BL$100000,Z$10)</f>
        <v>0</v>
      </c>
      <c r="AA40" s="291">
        <f>COUNTIFS('Details-Products'!$C$7:$C$100000,$C40,'Details-Products'!$D$7:$D$100000,$B40,'Details-Products'!$BL$7:$BL$100000,AA$10,'Details-Products'!$X$7:$X$100000,"YES")</f>
        <v>0</v>
      </c>
      <c r="AB40" s="360">
        <f>SUMIFS('Details-Products'!$Z$7:$Z$100000,'Details-Products'!$C$7:$C$100000,$C40,'Details-Products'!$D$7:$D$100000,$B40,'Details-Products'!$BL$7:$BL$100000,AB$10,'Details-Products'!$X$7:$X$100000,"YES")</f>
        <v>0</v>
      </c>
      <c r="AC40" s="291">
        <f>COUNTIFS('Details-Products'!$C$7:$C$100000,$C40,'Details-Products'!$D$7:$D$100000,$B40,'Details-Products'!$BL$7:$BL$100000,AC$10)</f>
        <v>0</v>
      </c>
      <c r="AD40" s="292">
        <f>COUNTIFS('Details-Products'!$C$7:$C$100000,$C40,'Details-Products'!$D$7:$D$100000,$B40,'Details-Products'!$BL$7:$BL$100000,AD$10,'Details-Products'!$X$7:$X$100000,"YES")</f>
        <v>0</v>
      </c>
      <c r="AE40" s="360">
        <f>SUMIFS('Details-Products'!$Z$7:$Z$100000,'Details-Products'!$C$7:$C$100000,$C40,'Details-Products'!$D$7:$D$100000,$B40,'Details-Products'!$BL$7:$BL$100000,AE$10,'Details-Products'!$X$7:$X$100000,"YES")</f>
        <v>0</v>
      </c>
      <c r="AF40" s="291">
        <f>COUNTIFS('Details-Products'!$C$7:$C$100000,$C40,'Details-Products'!$D$7:$D$100000,$B40,'Details-Products'!$BL$7:$BL$100000,AF$10)</f>
        <v>0</v>
      </c>
      <c r="AG40" s="292">
        <f>COUNTIFS('Details-Products'!$C$7:$C$100000,$C40,'Details-Products'!$D$7:$D$100000,$B40,'Details-Products'!$BL$7:$BL$100000,AG$10,'Details-Products'!$X$7:$X$100000,"YES")</f>
        <v>0</v>
      </c>
      <c r="AH40" s="360">
        <f>SUMIFS('Details-Products'!$Z$7:$Z$100000,'Details-Products'!$C$7:$C$100000,$C40,'Details-Products'!$D$7:$D$100000,$B40,'Details-Products'!$BL$7:$BL$100000,AH$10,'Details-Products'!$X$7:$X$100000,"YES")</f>
        <v>0</v>
      </c>
      <c r="AI40" s="291">
        <f>COUNTIFS('Details-Products'!$C$7:$C$100000,$C40,'Details-Products'!$D$7:$D$100000,$B40,'Details-Products'!$BL$7:$BL$100000,AI$10)</f>
        <v>0</v>
      </c>
      <c r="AJ40" s="292">
        <f>COUNTIFS('Details-Products'!$C$7:$C$100000,$C40,'Details-Products'!$D$7:$D$100000,$B40,'Details-Products'!$BL$7:$BL$100000,AJ$10,'Details-Products'!$X$7:$X$100000,"YES")</f>
        <v>0</v>
      </c>
      <c r="AK40" s="360">
        <f>SUMIFS('Details-Products'!$Z$7:$Z$100000,'Details-Products'!$C$7:$C$100000,$C40,'Details-Products'!$D$7:$D$100000,$B40,'Details-Products'!$BL$7:$BL$100000,AK$10,'Details-Products'!$X$7:$X$100000,"YES")</f>
        <v>0</v>
      </c>
      <c r="AL40" s="291">
        <f t="shared" si="12"/>
        <v>0</v>
      </c>
      <c r="AM40" s="292">
        <f t="shared" si="13"/>
        <v>0</v>
      </c>
      <c r="AN40" s="360">
        <f t="shared" si="14"/>
        <v>0</v>
      </c>
      <c r="AO40" s="292">
        <f>COUNTIFS('Details-Products'!$C$7:$C$100000,$C40,'Details-Products'!$D$7:$D$100000,$B40,'Details-Products'!$BL$7:$BL$100000,AO$10)</f>
        <v>0</v>
      </c>
      <c r="AP40" s="292">
        <f>COUNTIFS('Details-Products'!$C$7:$C$100000,$C40,'Details-Products'!$D$7:$D$100000,$B40,'Details-Products'!$BL$7:$BL$100000,AP$10,'Details-Products'!$X$7:$X$100000,"YES")</f>
        <v>0</v>
      </c>
      <c r="AQ40" s="360">
        <f>SUMIFS('Details-Products'!$Z$7:$Z$100000,'Details-Products'!$C$7:$C$100000,$C40,'Details-Products'!$D$7:$D$100000,$B40,'Details-Products'!$BL$7:$BL$100000,AQ$10,'Details-Products'!$X$7:$X$100000,"YES")</f>
        <v>0</v>
      </c>
      <c r="AR40" s="292">
        <f>COUNTIFS('Details-Products'!$C$7:$C$100000,$C40,'Details-Products'!$D$7:$D$100000,$B40,'Details-Products'!$BL$7:$BL$100000,AR$10)</f>
        <v>0</v>
      </c>
      <c r="AS40" s="292">
        <f>COUNTIFS('Details-Products'!$C$7:$C$100000,$C40,'Details-Products'!$D$7:$D$100000,$B40,'Details-Products'!$BL$7:$BL$100000,AS$10,'Details-Products'!$X$7:$X$100000,"YES")</f>
        <v>0</v>
      </c>
      <c r="AT40" s="360">
        <f>SUMIFS('Details-Products'!$Z$7:$Z$100000,'Details-Products'!$C$7:$C$100000,$C40,'Details-Products'!$D$7:$D$100000,$B40,'Details-Products'!$BL$7:$BL$100000,AT$10,'Details-Products'!$X$7:$X$100000,"YES")</f>
        <v>0</v>
      </c>
      <c r="AU40" s="292">
        <f>COUNTIFS('Details-Products'!$C$7:$C$100000,$C40,'Details-Products'!$D$7:$D$100000,$B40,'Details-Products'!$BL$7:$BL$100000,AU$10)</f>
        <v>0</v>
      </c>
      <c r="AV40" s="292">
        <f>COUNTIFS('Details-Products'!$C$7:$C$100000,$C40,'Details-Products'!$D$7:$D$100000,$B40,'Details-Products'!$BL$7:$BL$100000,AV$10,'Details-Products'!$X$7:$X$100000,"YES")</f>
        <v>0</v>
      </c>
      <c r="AW40" s="360">
        <f>SUMIFS('Details-Products'!$Z$7:$Z$100000,'Details-Products'!$C$7:$C$100000,$C40,'Details-Products'!$D$7:$D$100000,$B40,'Details-Products'!$BL$7:$BL$100000,AW$10,'Details-Products'!$X$7:$X$100000,"YES")</f>
        <v>0</v>
      </c>
      <c r="AX40" s="291">
        <f>COUNTIFS('Details-Products'!$C$7:$C$100000,$C40,'Details-Products'!$D$7:$D$100000,$B40,'Details-Products'!$BL$7:$BL$100000,AX$10)</f>
        <v>0</v>
      </c>
      <c r="AY40" s="292">
        <f>COUNTIFS('Details-Products'!$C$7:$C$100000,$C40,'Details-Products'!$D$7:$D$100000,$B40,'Details-Products'!$BL$7:$BL$100000,AY$10,'Details-Products'!$X$7:$X$100000,"YES")</f>
        <v>0</v>
      </c>
      <c r="AZ40" s="360">
        <f>SUMIFS('Details-Products'!$Z$7:$Z$100000,'Details-Products'!$C$7:$C$100000,$C40,'Details-Products'!$D$7:$D$100000,$B40,'Details-Products'!$BL$7:$BL$100000,AZ$10,'Details-Products'!$X$7:$X$100000,"YES")</f>
        <v>0</v>
      </c>
      <c r="BA40" s="291">
        <f>COUNTIFS('Details-Products'!$C$7:$C$100000,$C40,'Details-Products'!$D$7:$D$100000,$B40,'Details-Products'!$BL$7:$BL$100000,BA$10)</f>
        <v>0</v>
      </c>
      <c r="BB40" s="292">
        <f>COUNTIFS('Details-Products'!$C$7:$C$100000,$C40,'Details-Products'!$D$7:$D$100000,$B40,'Details-Products'!$BL$7:$BL$100000,BB$10,'Details-Products'!$X$7:$X$100000,"YES")</f>
        <v>0</v>
      </c>
      <c r="BC40" s="360">
        <f>SUMIFS('Details-Products'!$Z$7:$Z$100000,'Details-Products'!$C$7:$C$100000,$C40,'Details-Products'!$D$7:$D$100000,$B40,'Details-Products'!$BL$7:$BL$100000,BC$10,'Details-Products'!$X$7:$X$100000,"YES")</f>
        <v>0</v>
      </c>
      <c r="BD40" s="294">
        <f>COUNTIFS('Details-Products'!$C$7:$C$100000,$C40,'Details-Products'!$D$7:$D$100000,$B40,'Details-Products'!$BL$7:$BL$100000,BD$10)</f>
        <v>0</v>
      </c>
      <c r="BE40" s="292">
        <f>COUNTIFS('Details-Products'!$C$7:$C$100000,$C40,'Details-Products'!$D$7:$D$100000,$B40,'Details-Products'!$BL$7:$BL$100000,BE$10,'Details-Products'!$X$7:$X$100000,"YES")</f>
        <v>0</v>
      </c>
      <c r="BF40" s="360">
        <f>SUMIFS('Details-Products'!$Z$7:$Z$100000,'Details-Products'!$C$7:$C$100000,$C40,'Details-Products'!$D$7:$D$100000,$B40,'Details-Products'!$BL$7:$BL$100000,BF$10,'Details-Products'!$X$7:$X$100000,"YES")</f>
        <v>0</v>
      </c>
      <c r="BG40" s="292">
        <f t="shared" si="16"/>
        <v>0</v>
      </c>
      <c r="BH40" s="292">
        <f t="shared" si="17"/>
        <v>0</v>
      </c>
      <c r="BI40" s="360">
        <f t="shared" si="18"/>
        <v>0</v>
      </c>
      <c r="BJ40" s="240"/>
    </row>
    <row r="41" spans="1:62" s="39" customFormat="1" ht="15" x14ac:dyDescent="0.2">
      <c r="A41" s="33"/>
      <c r="B41" s="41">
        <v>18</v>
      </c>
      <c r="C41" s="41">
        <v>6</v>
      </c>
      <c r="D41" s="200" t="s">
        <v>154</v>
      </c>
      <c r="E41" s="295">
        <f>COUNTIFS('Details-Products'!$C$7:$C$100000,$C41,'Details-Products'!$D$7:$D$100000,$B41,'Details-Products'!$BL$7:$BL$100000,E$10)</f>
        <v>0</v>
      </c>
      <c r="F41" s="296">
        <f>COUNTIFS('Details-Products'!$C$7:$C$100000,$C41,'Details-Products'!$D$7:$D$100000,$B41,'Details-Products'!$BL$7:$BL$100000,F$10,'Details-Products'!$X$7:$X$100000,"YES")</f>
        <v>0</v>
      </c>
      <c r="G41" s="359">
        <f>SUMIFS('Details-Products'!$Z$7:$Z$100000,'Details-Products'!$C$7:$C$100000,$C41,'Details-Products'!$D$7:$D$100000,$B41,'Details-Products'!$BL$7:$BL$100000,G$10,'Details-Products'!$X$7:$X$100000,"YES")</f>
        <v>0</v>
      </c>
      <c r="H41" s="295">
        <f>COUNTIFS('Details-Products'!$C$7:$C$100000,$C41,'Details-Products'!$D$7:$D$100000,$B41,'Details-Products'!$BL$7:$BL$100000,H$10)</f>
        <v>0</v>
      </c>
      <c r="I41" s="296">
        <f>COUNTIFS('Details-Products'!$C$7:$C$100000,$C41,'Details-Products'!$D$7:$D$100000,$B41,'Details-Products'!$BL$7:$BL$100000,I$10,'Details-Products'!$X$7:$X$100000,"YES")</f>
        <v>0</v>
      </c>
      <c r="J41" s="359">
        <f>SUMIFS('Details-Products'!$Z$7:$Z$100000,'Details-Products'!$C$7:$C$100000,$C41,'Details-Products'!$D$7:$D$100000,$B41,'Details-Products'!$BL$7:$BL$100000,J$10,'Details-Products'!$X$7:$X$100000,"YES")</f>
        <v>0</v>
      </c>
      <c r="K41" s="295">
        <f>COUNTIFS('Details-Products'!$C$7:$C$100000,$C41,'Details-Products'!$D$7:$D$100000,$B41,'Details-Products'!$BL$7:$BL$100000,K$10)</f>
        <v>0</v>
      </c>
      <c r="L41" s="296">
        <f>COUNTIFS('Details-Products'!$C$7:$C$100000,$C41,'Details-Products'!$D$7:$D$100000,$B41,'Details-Products'!$BL$7:$BL$100000,L$10,'Details-Products'!$X$7:$X$100000,"YES")</f>
        <v>0</v>
      </c>
      <c r="M41" s="359">
        <f>SUMIFS('Details-Products'!$Z$7:$Z$100000,'Details-Products'!$C$7:$C$100000,$C41,'Details-Products'!$D$7:$D$100000,$B41,'Details-Products'!$BL$7:$BL$100000,M$10,'Details-Products'!$X$7:$X$100000,"YES")</f>
        <v>0</v>
      </c>
      <c r="N41" s="466">
        <f t="shared" si="1"/>
        <v>0</v>
      </c>
      <c r="O41" s="302">
        <f t="shared" si="2"/>
        <v>0</v>
      </c>
      <c r="P41" s="354">
        <f t="shared" si="3"/>
        <v>0</v>
      </c>
      <c r="Q41" s="354">
        <f>VLOOKUP(B41,Ttl_Inv!A:E,4,FALSE)</f>
        <v>0</v>
      </c>
      <c r="R41" s="330" t="e">
        <f t="shared" si="25"/>
        <v>#DIV/0!</v>
      </c>
      <c r="S41" s="359">
        <f>SUMIFS('Additional Color Sizes Report'!$R:$R,'Additional Color Sizes Report'!$B:$B,$B41)</f>
        <v>0</v>
      </c>
      <c r="T41" s="343" t="e">
        <f t="shared" si="26"/>
        <v>#DIV/0!</v>
      </c>
      <c r="U41" s="359">
        <f t="shared" si="6"/>
        <v>0</v>
      </c>
      <c r="V41" s="321" t="e">
        <f t="shared" si="27"/>
        <v>#DIV/0!</v>
      </c>
      <c r="W41" s="295">
        <f t="shared" si="8"/>
        <v>0</v>
      </c>
      <c r="X41" s="296">
        <f t="shared" si="9"/>
        <v>0</v>
      </c>
      <c r="Y41" s="359">
        <f t="shared" si="10"/>
        <v>0</v>
      </c>
      <c r="Z41" s="295">
        <f>COUNTIFS('Details-Products'!$C$7:$C$100000,$C41,'Details-Products'!$D$7:$D$100000,$B41,'Details-Products'!$BL$7:$BL$100000,Z$10)</f>
        <v>0</v>
      </c>
      <c r="AA41" s="295">
        <f>COUNTIFS('Details-Products'!$C$7:$C$100000,$C41,'Details-Products'!$D$7:$D$100000,$B41,'Details-Products'!$BL$7:$BL$100000,AA$10,'Details-Products'!$X$7:$X$100000,"YES")</f>
        <v>0</v>
      </c>
      <c r="AB41" s="359">
        <f>SUMIFS('Details-Products'!$Z$7:$Z$100000,'Details-Products'!$C$7:$C$100000,$C41,'Details-Products'!$D$7:$D$100000,$B41,'Details-Products'!$BL$7:$BL$100000,AB$10,'Details-Products'!$X$7:$X$100000,"YES")</f>
        <v>0</v>
      </c>
      <c r="AC41" s="295">
        <f>COUNTIFS('Details-Products'!$C$7:$C$100000,$C41,'Details-Products'!$D$7:$D$100000,$B41,'Details-Products'!$BL$7:$BL$100000,AC$10)</f>
        <v>0</v>
      </c>
      <c r="AD41" s="296">
        <f>COUNTIFS('Details-Products'!$C$7:$C$100000,$C41,'Details-Products'!$D$7:$D$100000,$B41,'Details-Products'!$BL$7:$BL$100000,AD$10,'Details-Products'!$X$7:$X$100000,"YES")</f>
        <v>0</v>
      </c>
      <c r="AE41" s="359">
        <f>SUMIFS('Details-Products'!$Z$7:$Z$100000,'Details-Products'!$C$7:$C$100000,$C41,'Details-Products'!$D$7:$D$100000,$B41,'Details-Products'!$BL$7:$BL$100000,AE$10,'Details-Products'!$X$7:$X$100000,"YES")</f>
        <v>0</v>
      </c>
      <c r="AF41" s="295">
        <f>COUNTIFS('Details-Products'!$C$7:$C$100000,$C41,'Details-Products'!$D$7:$D$100000,$B41,'Details-Products'!$BL$7:$BL$100000,AF$10)</f>
        <v>0</v>
      </c>
      <c r="AG41" s="296">
        <f>COUNTIFS('Details-Products'!$C$7:$C$100000,$C41,'Details-Products'!$D$7:$D$100000,$B41,'Details-Products'!$BL$7:$BL$100000,AG$10,'Details-Products'!$X$7:$X$100000,"YES")</f>
        <v>0</v>
      </c>
      <c r="AH41" s="359">
        <f>SUMIFS('Details-Products'!$Z$7:$Z$100000,'Details-Products'!$C$7:$C$100000,$C41,'Details-Products'!$D$7:$D$100000,$B41,'Details-Products'!$BL$7:$BL$100000,AH$10,'Details-Products'!$X$7:$X$100000,"YES")</f>
        <v>0</v>
      </c>
      <c r="AI41" s="295">
        <f>COUNTIFS('Details-Products'!$C$7:$C$100000,$C41,'Details-Products'!$D$7:$D$100000,$B41,'Details-Products'!$BL$7:$BL$100000,AI$10)</f>
        <v>0</v>
      </c>
      <c r="AJ41" s="296">
        <f>COUNTIFS('Details-Products'!$C$7:$C$100000,$C41,'Details-Products'!$D$7:$D$100000,$B41,'Details-Products'!$BL$7:$BL$100000,AJ$10,'Details-Products'!$X$7:$X$100000,"YES")</f>
        <v>0</v>
      </c>
      <c r="AK41" s="359">
        <f>SUMIFS('Details-Products'!$Z$7:$Z$100000,'Details-Products'!$C$7:$C$100000,$C41,'Details-Products'!$D$7:$D$100000,$B41,'Details-Products'!$BL$7:$BL$100000,AK$10,'Details-Products'!$X$7:$X$100000,"YES")</f>
        <v>0</v>
      </c>
      <c r="AL41" s="295">
        <f t="shared" si="12"/>
        <v>0</v>
      </c>
      <c r="AM41" s="296">
        <f t="shared" si="13"/>
        <v>0</v>
      </c>
      <c r="AN41" s="359">
        <f t="shared" si="14"/>
        <v>0</v>
      </c>
      <c r="AO41" s="296">
        <f>COUNTIFS('Details-Products'!$C$7:$C$100000,$C41,'Details-Products'!$D$7:$D$100000,$B41,'Details-Products'!$BL$7:$BL$100000,AO$10)</f>
        <v>0</v>
      </c>
      <c r="AP41" s="296">
        <f>COUNTIFS('Details-Products'!$C$7:$C$100000,$C41,'Details-Products'!$D$7:$D$100000,$B41,'Details-Products'!$BL$7:$BL$100000,AP$10,'Details-Products'!$X$7:$X$100000,"YES")</f>
        <v>0</v>
      </c>
      <c r="AQ41" s="359">
        <f>SUMIFS('Details-Products'!$Z$7:$Z$100000,'Details-Products'!$C$7:$C$100000,$C41,'Details-Products'!$D$7:$D$100000,$B41,'Details-Products'!$BL$7:$BL$100000,AQ$10,'Details-Products'!$X$7:$X$100000,"YES")</f>
        <v>0</v>
      </c>
      <c r="AR41" s="296">
        <f>COUNTIFS('Details-Products'!$C$7:$C$100000,$C41,'Details-Products'!$D$7:$D$100000,$B41,'Details-Products'!$BL$7:$BL$100000,AR$10)</f>
        <v>0</v>
      </c>
      <c r="AS41" s="296">
        <f>COUNTIFS('Details-Products'!$C$7:$C$100000,$C41,'Details-Products'!$D$7:$D$100000,$B41,'Details-Products'!$BL$7:$BL$100000,AS$10,'Details-Products'!$X$7:$X$100000,"YES")</f>
        <v>0</v>
      </c>
      <c r="AT41" s="359">
        <f>SUMIFS('Details-Products'!$Z$7:$Z$100000,'Details-Products'!$C$7:$C$100000,$C41,'Details-Products'!$D$7:$D$100000,$B41,'Details-Products'!$BL$7:$BL$100000,AT$10,'Details-Products'!$X$7:$X$100000,"YES")</f>
        <v>0</v>
      </c>
      <c r="AU41" s="296">
        <f>COUNTIFS('Details-Products'!$C$7:$C$100000,$C41,'Details-Products'!$D$7:$D$100000,$B41,'Details-Products'!$BL$7:$BL$100000,AU$10)</f>
        <v>0</v>
      </c>
      <c r="AV41" s="296">
        <f>COUNTIFS('Details-Products'!$C$7:$C$100000,$C41,'Details-Products'!$D$7:$D$100000,$B41,'Details-Products'!$BL$7:$BL$100000,AV$10,'Details-Products'!$X$7:$X$100000,"YES")</f>
        <v>0</v>
      </c>
      <c r="AW41" s="359">
        <f>SUMIFS('Details-Products'!$Z$7:$Z$100000,'Details-Products'!$C$7:$C$100000,$C41,'Details-Products'!$D$7:$D$100000,$B41,'Details-Products'!$BL$7:$BL$100000,AW$10,'Details-Products'!$X$7:$X$100000,"YES")</f>
        <v>0</v>
      </c>
      <c r="AX41" s="295">
        <f>COUNTIFS('Details-Products'!$C$7:$C$100000,$C41,'Details-Products'!$D$7:$D$100000,$B41,'Details-Products'!$BL$7:$BL$100000,AX$10)</f>
        <v>0</v>
      </c>
      <c r="AY41" s="296">
        <f>COUNTIFS('Details-Products'!$C$7:$C$100000,$C41,'Details-Products'!$D$7:$D$100000,$B41,'Details-Products'!$BL$7:$BL$100000,AY$10,'Details-Products'!$X$7:$X$100000,"YES")</f>
        <v>0</v>
      </c>
      <c r="AZ41" s="359">
        <f>SUMIFS('Details-Products'!$Z$7:$Z$100000,'Details-Products'!$C$7:$C$100000,$C41,'Details-Products'!$D$7:$D$100000,$B41,'Details-Products'!$BL$7:$BL$100000,AZ$10,'Details-Products'!$X$7:$X$100000,"YES")</f>
        <v>0</v>
      </c>
      <c r="BA41" s="295">
        <f>COUNTIFS('Details-Products'!$C$7:$C$100000,$C41,'Details-Products'!$D$7:$D$100000,$B41,'Details-Products'!$BL$7:$BL$100000,BA$10)</f>
        <v>0</v>
      </c>
      <c r="BB41" s="296">
        <f>COUNTIFS('Details-Products'!$C$7:$C$100000,$C41,'Details-Products'!$D$7:$D$100000,$B41,'Details-Products'!$BL$7:$BL$100000,BB$10,'Details-Products'!$X$7:$X$100000,"YES")</f>
        <v>0</v>
      </c>
      <c r="BC41" s="359">
        <f>SUMIFS('Details-Products'!$Z$7:$Z$100000,'Details-Products'!$C$7:$C$100000,$C41,'Details-Products'!$D$7:$D$100000,$B41,'Details-Products'!$BL$7:$BL$100000,BC$10,'Details-Products'!$X$7:$X$100000,"YES")</f>
        <v>0</v>
      </c>
      <c r="BD41" s="298">
        <f>COUNTIFS('Details-Products'!$C$7:$C$100000,$C41,'Details-Products'!$D$7:$D$100000,$B41,'Details-Products'!$BL$7:$BL$100000,BD$10)</f>
        <v>0</v>
      </c>
      <c r="BE41" s="296">
        <f>COUNTIFS('Details-Products'!$C$7:$C$100000,$C41,'Details-Products'!$D$7:$D$100000,$B41,'Details-Products'!$BL$7:$BL$100000,BE$10,'Details-Products'!$X$7:$X$100000,"YES")</f>
        <v>0</v>
      </c>
      <c r="BF41" s="359">
        <f>SUMIFS('Details-Products'!$Z$7:$Z$100000,'Details-Products'!$C$7:$C$100000,$C41,'Details-Products'!$D$7:$D$100000,$B41,'Details-Products'!$BL$7:$BL$100000,BF$10,'Details-Products'!$X$7:$X$100000,"YES")</f>
        <v>0</v>
      </c>
      <c r="BG41" s="296">
        <f t="shared" si="16"/>
        <v>0</v>
      </c>
      <c r="BH41" s="296">
        <f t="shared" si="17"/>
        <v>0</v>
      </c>
      <c r="BI41" s="359">
        <f t="shared" si="18"/>
        <v>0</v>
      </c>
      <c r="BJ41" s="238"/>
    </row>
    <row r="42" spans="1:62" s="39" customFormat="1" ht="15" x14ac:dyDescent="0.2">
      <c r="B42" s="41">
        <v>19</v>
      </c>
      <c r="C42" s="41">
        <v>6</v>
      </c>
      <c r="D42" s="199" t="s">
        <v>155</v>
      </c>
      <c r="E42" s="291">
        <f>COUNTIFS('Details-Products'!$C$7:$C$100000,$C42,'Details-Products'!$D$7:$D$100000,$B42,'Details-Products'!$BL$7:$BL$100000,E$10)</f>
        <v>0</v>
      </c>
      <c r="F42" s="292">
        <f>COUNTIFS('Details-Products'!$C$7:$C$100000,$C42,'Details-Products'!$D$7:$D$100000,$B42,'Details-Products'!$BL$7:$BL$100000,F$10,'Details-Products'!$X$7:$X$100000,"YES")</f>
        <v>0</v>
      </c>
      <c r="G42" s="360">
        <f>SUMIFS('Details-Products'!$Z$7:$Z$100000,'Details-Products'!$C$7:$C$100000,$C42,'Details-Products'!$D$7:$D$100000,$B42,'Details-Products'!$BL$7:$BL$100000,G$10,'Details-Products'!$X$7:$X$100000,"YES")</f>
        <v>0</v>
      </c>
      <c r="H42" s="291">
        <f>COUNTIFS('Details-Products'!$C$7:$C$100000,$C42,'Details-Products'!$D$7:$D$100000,$B42,'Details-Products'!$BL$7:$BL$100000,H$10)</f>
        <v>0</v>
      </c>
      <c r="I42" s="292">
        <f>COUNTIFS('Details-Products'!$C$7:$C$100000,$C42,'Details-Products'!$D$7:$D$100000,$B42,'Details-Products'!$BL$7:$BL$100000,I$10,'Details-Products'!$X$7:$X$100000,"YES")</f>
        <v>0</v>
      </c>
      <c r="J42" s="360">
        <f>SUMIFS('Details-Products'!$Z$7:$Z$100000,'Details-Products'!$C$7:$C$100000,$C42,'Details-Products'!$D$7:$D$100000,$B42,'Details-Products'!$BL$7:$BL$100000,J$10,'Details-Products'!$X$7:$X$100000,"YES")</f>
        <v>0</v>
      </c>
      <c r="K42" s="291">
        <f>COUNTIFS('Details-Products'!$C$7:$C$100000,$C42,'Details-Products'!$D$7:$D$100000,$B42,'Details-Products'!$BL$7:$BL$100000,K$10)</f>
        <v>0</v>
      </c>
      <c r="L42" s="292">
        <f>COUNTIFS('Details-Products'!$C$7:$C$100000,$C42,'Details-Products'!$D$7:$D$100000,$B42,'Details-Products'!$BL$7:$BL$100000,L$10,'Details-Products'!$X$7:$X$100000,"YES")</f>
        <v>0</v>
      </c>
      <c r="M42" s="360">
        <f>SUMIFS('Details-Products'!$Z$7:$Z$100000,'Details-Products'!$C$7:$C$100000,$C42,'Details-Products'!$D$7:$D$100000,$B42,'Details-Products'!$BL$7:$BL$100000,M$10,'Details-Products'!$X$7:$X$100000,"YES")</f>
        <v>0</v>
      </c>
      <c r="N42" s="467">
        <f t="shared" si="1"/>
        <v>0</v>
      </c>
      <c r="O42" s="303">
        <f t="shared" si="2"/>
        <v>0</v>
      </c>
      <c r="P42" s="355">
        <f t="shared" si="3"/>
        <v>0</v>
      </c>
      <c r="Q42" s="355">
        <f>VLOOKUP(B42,Ttl_Inv!A:E,4,FALSE)</f>
        <v>0</v>
      </c>
      <c r="R42" s="331" t="e">
        <f t="shared" si="25"/>
        <v>#DIV/0!</v>
      </c>
      <c r="S42" s="360">
        <f>SUMIFS('Additional Color Sizes Report'!$R:$R,'Additional Color Sizes Report'!$B:$B,$B42)</f>
        <v>0</v>
      </c>
      <c r="T42" s="344" t="e">
        <f t="shared" si="26"/>
        <v>#DIV/0!</v>
      </c>
      <c r="U42" s="360">
        <f t="shared" si="6"/>
        <v>0</v>
      </c>
      <c r="V42" s="322" t="e">
        <f t="shared" si="27"/>
        <v>#DIV/0!</v>
      </c>
      <c r="W42" s="291">
        <f t="shared" si="8"/>
        <v>0</v>
      </c>
      <c r="X42" s="292">
        <f t="shared" si="9"/>
        <v>0</v>
      </c>
      <c r="Y42" s="360">
        <f t="shared" si="10"/>
        <v>0</v>
      </c>
      <c r="Z42" s="291">
        <f>COUNTIFS('Details-Products'!$C$7:$C$100000,$C42,'Details-Products'!$D$7:$D$100000,$B42,'Details-Products'!$BL$7:$BL$100000,Z$10)</f>
        <v>0</v>
      </c>
      <c r="AA42" s="291">
        <f>COUNTIFS('Details-Products'!$C$7:$C$100000,$C42,'Details-Products'!$D$7:$D$100000,$B42,'Details-Products'!$BL$7:$BL$100000,AA$10,'Details-Products'!$X$7:$X$100000,"YES")</f>
        <v>0</v>
      </c>
      <c r="AB42" s="360">
        <f>SUMIFS('Details-Products'!$Z$7:$Z$100000,'Details-Products'!$C$7:$C$100000,$C42,'Details-Products'!$D$7:$D$100000,$B42,'Details-Products'!$BL$7:$BL$100000,AB$10,'Details-Products'!$X$7:$X$100000,"YES")</f>
        <v>0</v>
      </c>
      <c r="AC42" s="291">
        <f>COUNTIFS('Details-Products'!$C$7:$C$100000,$C42,'Details-Products'!$D$7:$D$100000,$B42,'Details-Products'!$BL$7:$BL$100000,AC$10)</f>
        <v>0</v>
      </c>
      <c r="AD42" s="292">
        <f>COUNTIFS('Details-Products'!$C$7:$C$100000,$C42,'Details-Products'!$D$7:$D$100000,$B42,'Details-Products'!$BL$7:$BL$100000,AD$10,'Details-Products'!$X$7:$X$100000,"YES")</f>
        <v>0</v>
      </c>
      <c r="AE42" s="360">
        <f>SUMIFS('Details-Products'!$Z$7:$Z$100000,'Details-Products'!$C$7:$C$100000,$C42,'Details-Products'!$D$7:$D$100000,$B42,'Details-Products'!$BL$7:$BL$100000,AE$10,'Details-Products'!$X$7:$X$100000,"YES")</f>
        <v>0</v>
      </c>
      <c r="AF42" s="291">
        <f>COUNTIFS('Details-Products'!$C$7:$C$100000,$C42,'Details-Products'!$D$7:$D$100000,$B42,'Details-Products'!$BL$7:$BL$100000,AF$10)</f>
        <v>0</v>
      </c>
      <c r="AG42" s="292">
        <f>COUNTIFS('Details-Products'!$C$7:$C$100000,$C42,'Details-Products'!$D$7:$D$100000,$B42,'Details-Products'!$BL$7:$BL$100000,AG$10,'Details-Products'!$X$7:$X$100000,"YES")</f>
        <v>0</v>
      </c>
      <c r="AH42" s="360">
        <f>SUMIFS('Details-Products'!$Z$7:$Z$100000,'Details-Products'!$C$7:$C$100000,$C42,'Details-Products'!$D$7:$D$100000,$B42,'Details-Products'!$BL$7:$BL$100000,AH$10,'Details-Products'!$X$7:$X$100000,"YES")</f>
        <v>0</v>
      </c>
      <c r="AI42" s="291">
        <f>COUNTIFS('Details-Products'!$C$7:$C$100000,$C42,'Details-Products'!$D$7:$D$100000,$B42,'Details-Products'!$BL$7:$BL$100000,AI$10)</f>
        <v>0</v>
      </c>
      <c r="AJ42" s="292">
        <f>COUNTIFS('Details-Products'!$C$7:$C$100000,$C42,'Details-Products'!$D$7:$D$100000,$B42,'Details-Products'!$BL$7:$BL$100000,AJ$10,'Details-Products'!$X$7:$X$100000,"YES")</f>
        <v>0</v>
      </c>
      <c r="AK42" s="360">
        <f>SUMIFS('Details-Products'!$Z$7:$Z$100000,'Details-Products'!$C$7:$C$100000,$C42,'Details-Products'!$D$7:$D$100000,$B42,'Details-Products'!$BL$7:$BL$100000,AK$10,'Details-Products'!$X$7:$X$100000,"YES")</f>
        <v>0</v>
      </c>
      <c r="AL42" s="291">
        <f t="shared" si="12"/>
        <v>0</v>
      </c>
      <c r="AM42" s="292">
        <f t="shared" si="13"/>
        <v>0</v>
      </c>
      <c r="AN42" s="360">
        <f t="shared" si="14"/>
        <v>0</v>
      </c>
      <c r="AO42" s="292">
        <f>COUNTIFS('Details-Products'!$C$7:$C$100000,$C42,'Details-Products'!$D$7:$D$100000,$B42,'Details-Products'!$BL$7:$BL$100000,AO$10)</f>
        <v>0</v>
      </c>
      <c r="AP42" s="292">
        <f>COUNTIFS('Details-Products'!$C$7:$C$100000,$C42,'Details-Products'!$D$7:$D$100000,$B42,'Details-Products'!$BL$7:$BL$100000,AP$10,'Details-Products'!$X$7:$X$100000,"YES")</f>
        <v>0</v>
      </c>
      <c r="AQ42" s="360">
        <f>SUMIFS('Details-Products'!$Z$7:$Z$100000,'Details-Products'!$C$7:$C$100000,$C42,'Details-Products'!$D$7:$D$100000,$B42,'Details-Products'!$BL$7:$BL$100000,AQ$10,'Details-Products'!$X$7:$X$100000,"YES")</f>
        <v>0</v>
      </c>
      <c r="AR42" s="292">
        <f>COUNTIFS('Details-Products'!$C$7:$C$100000,$C42,'Details-Products'!$D$7:$D$100000,$B42,'Details-Products'!$BL$7:$BL$100000,AR$10)</f>
        <v>0</v>
      </c>
      <c r="AS42" s="292">
        <f>COUNTIFS('Details-Products'!$C$7:$C$100000,$C42,'Details-Products'!$D$7:$D$100000,$B42,'Details-Products'!$BL$7:$BL$100000,AS$10,'Details-Products'!$X$7:$X$100000,"YES")</f>
        <v>0</v>
      </c>
      <c r="AT42" s="360">
        <f>SUMIFS('Details-Products'!$Z$7:$Z$100000,'Details-Products'!$C$7:$C$100000,$C42,'Details-Products'!$D$7:$D$100000,$B42,'Details-Products'!$BL$7:$BL$100000,AT$10,'Details-Products'!$X$7:$X$100000,"YES")</f>
        <v>0</v>
      </c>
      <c r="AU42" s="292">
        <f>COUNTIFS('Details-Products'!$C$7:$C$100000,$C42,'Details-Products'!$D$7:$D$100000,$B42,'Details-Products'!$BL$7:$BL$100000,AU$10)</f>
        <v>0</v>
      </c>
      <c r="AV42" s="292">
        <f>COUNTIFS('Details-Products'!$C$7:$C$100000,$C42,'Details-Products'!$D$7:$D$100000,$B42,'Details-Products'!$BL$7:$BL$100000,AV$10,'Details-Products'!$X$7:$X$100000,"YES")</f>
        <v>0</v>
      </c>
      <c r="AW42" s="360">
        <f>SUMIFS('Details-Products'!$Z$7:$Z$100000,'Details-Products'!$C$7:$C$100000,$C42,'Details-Products'!$D$7:$D$100000,$B42,'Details-Products'!$BL$7:$BL$100000,AW$10,'Details-Products'!$X$7:$X$100000,"YES")</f>
        <v>0</v>
      </c>
      <c r="AX42" s="291">
        <f>COUNTIFS('Details-Products'!$C$7:$C$100000,$C42,'Details-Products'!$D$7:$D$100000,$B42,'Details-Products'!$BL$7:$BL$100000,AX$10)</f>
        <v>0</v>
      </c>
      <c r="AY42" s="292">
        <f>COUNTIFS('Details-Products'!$C$7:$C$100000,$C42,'Details-Products'!$D$7:$D$100000,$B42,'Details-Products'!$BL$7:$BL$100000,AY$10,'Details-Products'!$X$7:$X$100000,"YES")</f>
        <v>0</v>
      </c>
      <c r="AZ42" s="360">
        <f>SUMIFS('Details-Products'!$Z$7:$Z$100000,'Details-Products'!$C$7:$C$100000,$C42,'Details-Products'!$D$7:$D$100000,$B42,'Details-Products'!$BL$7:$BL$100000,AZ$10,'Details-Products'!$X$7:$X$100000,"YES")</f>
        <v>0</v>
      </c>
      <c r="BA42" s="291">
        <f>COUNTIFS('Details-Products'!$C$7:$C$100000,$C42,'Details-Products'!$D$7:$D$100000,$B42,'Details-Products'!$BL$7:$BL$100000,BA$10)</f>
        <v>0</v>
      </c>
      <c r="BB42" s="292">
        <f>COUNTIFS('Details-Products'!$C$7:$C$100000,$C42,'Details-Products'!$D$7:$D$100000,$B42,'Details-Products'!$BL$7:$BL$100000,BB$10,'Details-Products'!$X$7:$X$100000,"YES")</f>
        <v>0</v>
      </c>
      <c r="BC42" s="360">
        <f>SUMIFS('Details-Products'!$Z$7:$Z$100000,'Details-Products'!$C$7:$C$100000,$C42,'Details-Products'!$D$7:$D$100000,$B42,'Details-Products'!$BL$7:$BL$100000,BC$10,'Details-Products'!$X$7:$X$100000,"YES")</f>
        <v>0</v>
      </c>
      <c r="BD42" s="294">
        <f>COUNTIFS('Details-Products'!$C$7:$C$100000,$C42,'Details-Products'!$D$7:$D$100000,$B42,'Details-Products'!$BL$7:$BL$100000,BD$10)</f>
        <v>0</v>
      </c>
      <c r="BE42" s="292">
        <f>COUNTIFS('Details-Products'!$C$7:$C$100000,$C42,'Details-Products'!$D$7:$D$100000,$B42,'Details-Products'!$BL$7:$BL$100000,BE$10,'Details-Products'!$X$7:$X$100000,"YES")</f>
        <v>0</v>
      </c>
      <c r="BF42" s="360">
        <f>SUMIFS('Details-Products'!$Z$7:$Z$100000,'Details-Products'!$C$7:$C$100000,$C42,'Details-Products'!$D$7:$D$100000,$B42,'Details-Products'!$BL$7:$BL$100000,BF$10,'Details-Products'!$X$7:$X$100000,"YES")</f>
        <v>0</v>
      </c>
      <c r="BG42" s="292">
        <f t="shared" si="16"/>
        <v>0</v>
      </c>
      <c r="BH42" s="292">
        <f t="shared" si="17"/>
        <v>0</v>
      </c>
      <c r="BI42" s="360">
        <f t="shared" si="18"/>
        <v>0</v>
      </c>
      <c r="BJ42" s="238"/>
    </row>
    <row r="43" spans="1:62" ht="15" x14ac:dyDescent="0.2">
      <c r="A43" s="39"/>
      <c r="B43" s="41">
        <v>55</v>
      </c>
      <c r="C43" s="41">
        <v>6</v>
      </c>
      <c r="D43" s="200" t="s">
        <v>156</v>
      </c>
      <c r="E43" s="295">
        <f>COUNTIFS('Details-Products'!$C$7:$C$100000,$C43,'Details-Products'!$D$7:$D$100000,$B43,'Details-Products'!$BL$7:$BL$100000,E$10)</f>
        <v>0</v>
      </c>
      <c r="F43" s="296">
        <f>COUNTIFS('Details-Products'!$C$7:$C$100000,$C43,'Details-Products'!$D$7:$D$100000,$B43,'Details-Products'!$BL$7:$BL$100000,F$10,'Details-Products'!$X$7:$X$100000,"YES")</f>
        <v>0</v>
      </c>
      <c r="G43" s="359">
        <f>SUMIFS('Details-Products'!$Z$7:$Z$100000,'Details-Products'!$C$7:$C$100000,$C43,'Details-Products'!$D$7:$D$100000,$B43,'Details-Products'!$BL$7:$BL$100000,G$10,'Details-Products'!$X$7:$X$100000,"YES")</f>
        <v>0</v>
      </c>
      <c r="H43" s="295">
        <f>COUNTIFS('Details-Products'!$C$7:$C$100000,$C43,'Details-Products'!$D$7:$D$100000,$B43,'Details-Products'!$BL$7:$BL$100000,H$10)</f>
        <v>0</v>
      </c>
      <c r="I43" s="296">
        <f>COUNTIFS('Details-Products'!$C$7:$C$100000,$C43,'Details-Products'!$D$7:$D$100000,$B43,'Details-Products'!$BL$7:$BL$100000,I$10,'Details-Products'!$X$7:$X$100000,"YES")</f>
        <v>0</v>
      </c>
      <c r="J43" s="359">
        <f>SUMIFS('Details-Products'!$Z$7:$Z$100000,'Details-Products'!$C$7:$C$100000,$C43,'Details-Products'!$D$7:$D$100000,$B43,'Details-Products'!$BL$7:$BL$100000,J$10,'Details-Products'!$X$7:$X$100000,"YES")</f>
        <v>0</v>
      </c>
      <c r="K43" s="295">
        <f>COUNTIFS('Details-Products'!$C$7:$C$100000,$C43,'Details-Products'!$D$7:$D$100000,$B43,'Details-Products'!$BL$7:$BL$100000,K$10)</f>
        <v>0</v>
      </c>
      <c r="L43" s="296">
        <f>COUNTIFS('Details-Products'!$C$7:$C$100000,$C43,'Details-Products'!$D$7:$D$100000,$B43,'Details-Products'!$BL$7:$BL$100000,L$10,'Details-Products'!$X$7:$X$100000,"YES")</f>
        <v>0</v>
      </c>
      <c r="M43" s="359">
        <f>SUMIFS('Details-Products'!$Z$7:$Z$100000,'Details-Products'!$C$7:$C$100000,$C43,'Details-Products'!$D$7:$D$100000,$B43,'Details-Products'!$BL$7:$BL$100000,M$10,'Details-Products'!$X$7:$X$100000,"YES")</f>
        <v>0</v>
      </c>
      <c r="N43" s="466">
        <f t="shared" si="1"/>
        <v>0</v>
      </c>
      <c r="O43" s="302">
        <f t="shared" si="2"/>
        <v>0</v>
      </c>
      <c r="P43" s="354">
        <f t="shared" si="3"/>
        <v>0</v>
      </c>
      <c r="Q43" s="354">
        <f>VLOOKUP(B43,Ttl_Inv!A:E,4,FALSE)</f>
        <v>0</v>
      </c>
      <c r="R43" s="330" t="e">
        <f t="shared" si="25"/>
        <v>#DIV/0!</v>
      </c>
      <c r="S43" s="359">
        <f>SUMIFS('Additional Color Sizes Report'!$R:$R,'Additional Color Sizes Report'!$B:$B,$B43)</f>
        <v>0</v>
      </c>
      <c r="T43" s="343" t="e">
        <f t="shared" si="26"/>
        <v>#DIV/0!</v>
      </c>
      <c r="U43" s="359">
        <f t="shared" si="6"/>
        <v>0</v>
      </c>
      <c r="V43" s="321" t="e">
        <f t="shared" si="27"/>
        <v>#DIV/0!</v>
      </c>
      <c r="W43" s="295">
        <f t="shared" si="8"/>
        <v>0</v>
      </c>
      <c r="X43" s="296">
        <f t="shared" si="9"/>
        <v>0</v>
      </c>
      <c r="Y43" s="359">
        <f t="shared" si="10"/>
        <v>0</v>
      </c>
      <c r="Z43" s="295">
        <f>COUNTIFS('Details-Products'!$C$7:$C$100000,$C43,'Details-Products'!$D$7:$D$100000,$B43,'Details-Products'!$BL$7:$BL$100000,Z$10)</f>
        <v>0</v>
      </c>
      <c r="AA43" s="295">
        <f>COUNTIFS('Details-Products'!$C$7:$C$100000,$C43,'Details-Products'!$D$7:$D$100000,$B43,'Details-Products'!$BL$7:$BL$100000,AA$10,'Details-Products'!$X$7:$X$100000,"YES")</f>
        <v>0</v>
      </c>
      <c r="AB43" s="359">
        <f>SUMIFS('Details-Products'!$Z$7:$Z$100000,'Details-Products'!$C$7:$C$100000,$C43,'Details-Products'!$D$7:$D$100000,$B43,'Details-Products'!$BL$7:$BL$100000,AB$10,'Details-Products'!$X$7:$X$100000,"YES")</f>
        <v>0</v>
      </c>
      <c r="AC43" s="295">
        <f>COUNTIFS('Details-Products'!$C$7:$C$100000,$C43,'Details-Products'!$D$7:$D$100000,$B43,'Details-Products'!$BL$7:$BL$100000,AC$10)</f>
        <v>0</v>
      </c>
      <c r="AD43" s="296">
        <f>COUNTIFS('Details-Products'!$C$7:$C$100000,$C43,'Details-Products'!$D$7:$D$100000,$B43,'Details-Products'!$BL$7:$BL$100000,AD$10,'Details-Products'!$X$7:$X$100000,"YES")</f>
        <v>0</v>
      </c>
      <c r="AE43" s="359">
        <f>SUMIFS('Details-Products'!$Z$7:$Z$100000,'Details-Products'!$C$7:$C$100000,$C43,'Details-Products'!$D$7:$D$100000,$B43,'Details-Products'!$BL$7:$BL$100000,AE$10,'Details-Products'!$X$7:$X$100000,"YES")</f>
        <v>0</v>
      </c>
      <c r="AF43" s="295">
        <f>COUNTIFS('Details-Products'!$C$7:$C$100000,$C43,'Details-Products'!$D$7:$D$100000,$B43,'Details-Products'!$BL$7:$BL$100000,AF$10)</f>
        <v>0</v>
      </c>
      <c r="AG43" s="296">
        <f>COUNTIFS('Details-Products'!$C$7:$C$100000,$C43,'Details-Products'!$D$7:$D$100000,$B43,'Details-Products'!$BL$7:$BL$100000,AG$10,'Details-Products'!$X$7:$X$100000,"YES")</f>
        <v>0</v>
      </c>
      <c r="AH43" s="359">
        <f>SUMIFS('Details-Products'!$Z$7:$Z$100000,'Details-Products'!$C$7:$C$100000,$C43,'Details-Products'!$D$7:$D$100000,$B43,'Details-Products'!$BL$7:$BL$100000,AH$10,'Details-Products'!$X$7:$X$100000,"YES")</f>
        <v>0</v>
      </c>
      <c r="AI43" s="295">
        <f>COUNTIFS('Details-Products'!$C$7:$C$100000,$C43,'Details-Products'!$D$7:$D$100000,$B43,'Details-Products'!$BL$7:$BL$100000,AI$10)</f>
        <v>0</v>
      </c>
      <c r="AJ43" s="296">
        <f>COUNTIFS('Details-Products'!$C$7:$C$100000,$C43,'Details-Products'!$D$7:$D$100000,$B43,'Details-Products'!$BL$7:$BL$100000,AJ$10,'Details-Products'!$X$7:$X$100000,"YES")</f>
        <v>0</v>
      </c>
      <c r="AK43" s="359">
        <f>SUMIFS('Details-Products'!$Z$7:$Z$100000,'Details-Products'!$C$7:$C$100000,$C43,'Details-Products'!$D$7:$D$100000,$B43,'Details-Products'!$BL$7:$BL$100000,AK$10,'Details-Products'!$X$7:$X$100000,"YES")</f>
        <v>0</v>
      </c>
      <c r="AL43" s="295">
        <f t="shared" si="12"/>
        <v>0</v>
      </c>
      <c r="AM43" s="296">
        <f t="shared" si="13"/>
        <v>0</v>
      </c>
      <c r="AN43" s="359">
        <f t="shared" si="14"/>
        <v>0</v>
      </c>
      <c r="AO43" s="296">
        <f>COUNTIFS('Details-Products'!$C$7:$C$100000,$C43,'Details-Products'!$D$7:$D$100000,$B43,'Details-Products'!$BL$7:$BL$100000,AO$10)</f>
        <v>0</v>
      </c>
      <c r="AP43" s="296">
        <f>COUNTIFS('Details-Products'!$C$7:$C$100000,$C43,'Details-Products'!$D$7:$D$100000,$B43,'Details-Products'!$BL$7:$BL$100000,AP$10,'Details-Products'!$X$7:$X$100000,"YES")</f>
        <v>0</v>
      </c>
      <c r="AQ43" s="359">
        <f>SUMIFS('Details-Products'!$Z$7:$Z$100000,'Details-Products'!$C$7:$C$100000,$C43,'Details-Products'!$D$7:$D$100000,$B43,'Details-Products'!$BL$7:$BL$100000,AQ$10,'Details-Products'!$X$7:$X$100000,"YES")</f>
        <v>0</v>
      </c>
      <c r="AR43" s="296">
        <f>COUNTIFS('Details-Products'!$C$7:$C$100000,$C43,'Details-Products'!$D$7:$D$100000,$B43,'Details-Products'!$BL$7:$BL$100000,AR$10)</f>
        <v>0</v>
      </c>
      <c r="AS43" s="296">
        <f>COUNTIFS('Details-Products'!$C$7:$C$100000,$C43,'Details-Products'!$D$7:$D$100000,$B43,'Details-Products'!$BL$7:$BL$100000,AS$10,'Details-Products'!$X$7:$X$100000,"YES")</f>
        <v>0</v>
      </c>
      <c r="AT43" s="359">
        <f>SUMIFS('Details-Products'!$Z$7:$Z$100000,'Details-Products'!$C$7:$C$100000,$C43,'Details-Products'!$D$7:$D$100000,$B43,'Details-Products'!$BL$7:$BL$100000,AT$10,'Details-Products'!$X$7:$X$100000,"YES")</f>
        <v>0</v>
      </c>
      <c r="AU43" s="296">
        <f>COUNTIFS('Details-Products'!$C$7:$C$100000,$C43,'Details-Products'!$D$7:$D$100000,$B43,'Details-Products'!$BL$7:$BL$100000,AU$10)</f>
        <v>0</v>
      </c>
      <c r="AV43" s="296">
        <f>COUNTIFS('Details-Products'!$C$7:$C$100000,$C43,'Details-Products'!$D$7:$D$100000,$B43,'Details-Products'!$BL$7:$BL$100000,AV$10,'Details-Products'!$X$7:$X$100000,"YES")</f>
        <v>0</v>
      </c>
      <c r="AW43" s="359">
        <f>SUMIFS('Details-Products'!$Z$7:$Z$100000,'Details-Products'!$C$7:$C$100000,$C43,'Details-Products'!$D$7:$D$100000,$B43,'Details-Products'!$BL$7:$BL$100000,AW$10,'Details-Products'!$X$7:$X$100000,"YES")</f>
        <v>0</v>
      </c>
      <c r="AX43" s="295">
        <f>COUNTIFS('Details-Products'!$C$7:$C$100000,$C43,'Details-Products'!$D$7:$D$100000,$B43,'Details-Products'!$BL$7:$BL$100000,AX$10)</f>
        <v>0</v>
      </c>
      <c r="AY43" s="296">
        <f>COUNTIFS('Details-Products'!$C$7:$C$100000,$C43,'Details-Products'!$D$7:$D$100000,$B43,'Details-Products'!$BL$7:$BL$100000,AY$10,'Details-Products'!$X$7:$X$100000,"YES")</f>
        <v>0</v>
      </c>
      <c r="AZ43" s="359">
        <f>SUMIFS('Details-Products'!$Z$7:$Z$100000,'Details-Products'!$C$7:$C$100000,$C43,'Details-Products'!$D$7:$D$100000,$B43,'Details-Products'!$BL$7:$BL$100000,AZ$10,'Details-Products'!$X$7:$X$100000,"YES")</f>
        <v>0</v>
      </c>
      <c r="BA43" s="295">
        <f>COUNTIFS('Details-Products'!$C$7:$C$100000,$C43,'Details-Products'!$D$7:$D$100000,$B43,'Details-Products'!$BL$7:$BL$100000,BA$10)</f>
        <v>0</v>
      </c>
      <c r="BB43" s="296">
        <f>COUNTIFS('Details-Products'!$C$7:$C$100000,$C43,'Details-Products'!$D$7:$D$100000,$B43,'Details-Products'!$BL$7:$BL$100000,BB$10,'Details-Products'!$X$7:$X$100000,"YES")</f>
        <v>0</v>
      </c>
      <c r="BC43" s="359">
        <f>SUMIFS('Details-Products'!$Z$7:$Z$100000,'Details-Products'!$C$7:$C$100000,$C43,'Details-Products'!$D$7:$D$100000,$B43,'Details-Products'!$BL$7:$BL$100000,BC$10,'Details-Products'!$X$7:$X$100000,"YES")</f>
        <v>0</v>
      </c>
      <c r="BD43" s="298">
        <f>COUNTIFS('Details-Products'!$C$7:$C$100000,$C43,'Details-Products'!$D$7:$D$100000,$B43,'Details-Products'!$BL$7:$BL$100000,BD$10)</f>
        <v>0</v>
      </c>
      <c r="BE43" s="296">
        <f>COUNTIFS('Details-Products'!$C$7:$C$100000,$C43,'Details-Products'!$D$7:$D$100000,$B43,'Details-Products'!$BL$7:$BL$100000,BE$10,'Details-Products'!$X$7:$X$100000,"YES")</f>
        <v>0</v>
      </c>
      <c r="BF43" s="359">
        <f>SUMIFS('Details-Products'!$Z$7:$Z$100000,'Details-Products'!$C$7:$C$100000,$C43,'Details-Products'!$D$7:$D$100000,$B43,'Details-Products'!$BL$7:$BL$100000,BF$10,'Details-Products'!$X$7:$X$100000,"YES")</f>
        <v>0</v>
      </c>
      <c r="BG43" s="296">
        <f t="shared" si="16"/>
        <v>0</v>
      </c>
      <c r="BH43" s="296">
        <f t="shared" si="17"/>
        <v>0</v>
      </c>
      <c r="BI43" s="359">
        <f t="shared" si="18"/>
        <v>0</v>
      </c>
      <c r="BJ43" s="240"/>
    </row>
    <row r="44" spans="1:62" ht="15" x14ac:dyDescent="0.2">
      <c r="B44" s="41">
        <v>36</v>
      </c>
      <c r="C44" s="41">
        <v>6</v>
      </c>
      <c r="D44" s="199" t="s">
        <v>157</v>
      </c>
      <c r="E44" s="291">
        <f>COUNTIFS('Details-Products'!$C$7:$C$100000,$C44,'Details-Products'!$D$7:$D$100000,$B44,'Details-Products'!$BL$7:$BL$100000,E$10)</f>
        <v>0</v>
      </c>
      <c r="F44" s="292">
        <f>COUNTIFS('Details-Products'!$C$7:$C$100000,$C44,'Details-Products'!$D$7:$D$100000,$B44,'Details-Products'!$BL$7:$BL$100000,F$10,'Details-Products'!$X$7:$X$100000,"YES")</f>
        <v>0</v>
      </c>
      <c r="G44" s="360">
        <f>SUMIFS('Details-Products'!$Z$7:$Z$100000,'Details-Products'!$C$7:$C$100000,$C44,'Details-Products'!$D$7:$D$100000,$B44,'Details-Products'!$BL$7:$BL$100000,G$10,'Details-Products'!$X$7:$X$100000,"YES")</f>
        <v>0</v>
      </c>
      <c r="H44" s="291">
        <f>COUNTIFS('Details-Products'!$C$7:$C$100000,$C44,'Details-Products'!$D$7:$D$100000,$B44,'Details-Products'!$BL$7:$BL$100000,H$10)</f>
        <v>0</v>
      </c>
      <c r="I44" s="292">
        <f>COUNTIFS('Details-Products'!$C$7:$C$100000,$C44,'Details-Products'!$D$7:$D$100000,$B44,'Details-Products'!$BL$7:$BL$100000,I$10,'Details-Products'!$X$7:$X$100000,"YES")</f>
        <v>0</v>
      </c>
      <c r="J44" s="360">
        <f>SUMIFS('Details-Products'!$Z$7:$Z$100000,'Details-Products'!$C$7:$C$100000,$C44,'Details-Products'!$D$7:$D$100000,$B44,'Details-Products'!$BL$7:$BL$100000,J$10,'Details-Products'!$X$7:$X$100000,"YES")</f>
        <v>0</v>
      </c>
      <c r="K44" s="291">
        <f>COUNTIFS('Details-Products'!$C$7:$C$100000,$C44,'Details-Products'!$D$7:$D$100000,$B44,'Details-Products'!$BL$7:$BL$100000,K$10)</f>
        <v>0</v>
      </c>
      <c r="L44" s="292">
        <f>COUNTIFS('Details-Products'!$C$7:$C$100000,$C44,'Details-Products'!$D$7:$D$100000,$B44,'Details-Products'!$BL$7:$BL$100000,L$10,'Details-Products'!$X$7:$X$100000,"YES")</f>
        <v>0</v>
      </c>
      <c r="M44" s="360">
        <f>SUMIFS('Details-Products'!$Z$7:$Z$100000,'Details-Products'!$C$7:$C$100000,$C44,'Details-Products'!$D$7:$D$100000,$B44,'Details-Products'!$BL$7:$BL$100000,M$10,'Details-Products'!$X$7:$X$100000,"YES")</f>
        <v>0</v>
      </c>
      <c r="N44" s="467">
        <f t="shared" si="1"/>
        <v>0</v>
      </c>
      <c r="O44" s="303">
        <f t="shared" si="2"/>
        <v>0</v>
      </c>
      <c r="P44" s="355">
        <f t="shared" si="3"/>
        <v>0</v>
      </c>
      <c r="Q44" s="355">
        <f>VLOOKUP(B44,Ttl_Inv!A:E,4,FALSE)</f>
        <v>0</v>
      </c>
      <c r="R44" s="331" t="e">
        <f t="shared" si="25"/>
        <v>#DIV/0!</v>
      </c>
      <c r="S44" s="360">
        <f>SUMIFS('Additional Color Sizes Report'!$R:$R,'Additional Color Sizes Report'!$B:$B,$B44)</f>
        <v>0</v>
      </c>
      <c r="T44" s="344" t="e">
        <f t="shared" si="26"/>
        <v>#DIV/0!</v>
      </c>
      <c r="U44" s="360">
        <f t="shared" si="6"/>
        <v>0</v>
      </c>
      <c r="V44" s="322" t="e">
        <f t="shared" si="27"/>
        <v>#DIV/0!</v>
      </c>
      <c r="W44" s="291">
        <f t="shared" si="8"/>
        <v>0</v>
      </c>
      <c r="X44" s="292">
        <f t="shared" si="9"/>
        <v>0</v>
      </c>
      <c r="Y44" s="360">
        <f t="shared" si="10"/>
        <v>0</v>
      </c>
      <c r="Z44" s="291">
        <f>COUNTIFS('Details-Products'!$C$7:$C$100000,$C44,'Details-Products'!$D$7:$D$100000,$B44,'Details-Products'!$BL$7:$BL$100000,Z$10)</f>
        <v>0</v>
      </c>
      <c r="AA44" s="291">
        <f>COUNTIFS('Details-Products'!$C$7:$C$100000,$C44,'Details-Products'!$D$7:$D$100000,$B44,'Details-Products'!$BL$7:$BL$100000,AA$10,'Details-Products'!$X$7:$X$100000,"YES")</f>
        <v>0</v>
      </c>
      <c r="AB44" s="360">
        <f>SUMIFS('Details-Products'!$Z$7:$Z$100000,'Details-Products'!$C$7:$C$100000,$C44,'Details-Products'!$D$7:$D$100000,$B44,'Details-Products'!$BL$7:$BL$100000,AB$10,'Details-Products'!$X$7:$X$100000,"YES")</f>
        <v>0</v>
      </c>
      <c r="AC44" s="291">
        <f>COUNTIFS('Details-Products'!$C$7:$C$100000,$C44,'Details-Products'!$D$7:$D$100000,$B44,'Details-Products'!$BL$7:$BL$100000,AC$10)</f>
        <v>0</v>
      </c>
      <c r="AD44" s="292">
        <f>COUNTIFS('Details-Products'!$C$7:$C$100000,$C44,'Details-Products'!$D$7:$D$100000,$B44,'Details-Products'!$BL$7:$BL$100000,AD$10,'Details-Products'!$X$7:$X$100000,"YES")</f>
        <v>0</v>
      </c>
      <c r="AE44" s="360">
        <f>SUMIFS('Details-Products'!$Z$7:$Z$100000,'Details-Products'!$C$7:$C$100000,$C44,'Details-Products'!$D$7:$D$100000,$B44,'Details-Products'!$BL$7:$BL$100000,AE$10,'Details-Products'!$X$7:$X$100000,"YES")</f>
        <v>0</v>
      </c>
      <c r="AF44" s="291">
        <f>COUNTIFS('Details-Products'!$C$7:$C$100000,$C44,'Details-Products'!$D$7:$D$100000,$B44,'Details-Products'!$BL$7:$BL$100000,AF$10)</f>
        <v>0</v>
      </c>
      <c r="AG44" s="292">
        <f>COUNTIFS('Details-Products'!$C$7:$C$100000,$C44,'Details-Products'!$D$7:$D$100000,$B44,'Details-Products'!$BL$7:$BL$100000,AG$10,'Details-Products'!$X$7:$X$100000,"YES")</f>
        <v>0</v>
      </c>
      <c r="AH44" s="360">
        <f>SUMIFS('Details-Products'!$Z$7:$Z$100000,'Details-Products'!$C$7:$C$100000,$C44,'Details-Products'!$D$7:$D$100000,$B44,'Details-Products'!$BL$7:$BL$100000,AH$10,'Details-Products'!$X$7:$X$100000,"YES")</f>
        <v>0</v>
      </c>
      <c r="AI44" s="291">
        <f>COUNTIFS('Details-Products'!$C$7:$C$100000,$C44,'Details-Products'!$D$7:$D$100000,$B44,'Details-Products'!$BL$7:$BL$100000,AI$10)</f>
        <v>0</v>
      </c>
      <c r="AJ44" s="292">
        <f>COUNTIFS('Details-Products'!$C$7:$C$100000,$C44,'Details-Products'!$D$7:$D$100000,$B44,'Details-Products'!$BL$7:$BL$100000,AJ$10,'Details-Products'!$X$7:$X$100000,"YES")</f>
        <v>0</v>
      </c>
      <c r="AK44" s="360">
        <f>SUMIFS('Details-Products'!$Z$7:$Z$100000,'Details-Products'!$C$7:$C$100000,$C44,'Details-Products'!$D$7:$D$100000,$B44,'Details-Products'!$BL$7:$BL$100000,AK$10,'Details-Products'!$X$7:$X$100000,"YES")</f>
        <v>0</v>
      </c>
      <c r="AL44" s="291">
        <f t="shared" si="12"/>
        <v>0</v>
      </c>
      <c r="AM44" s="292">
        <f t="shared" si="13"/>
        <v>0</v>
      </c>
      <c r="AN44" s="360">
        <f t="shared" si="14"/>
        <v>0</v>
      </c>
      <c r="AO44" s="292">
        <f>COUNTIFS('Details-Products'!$C$7:$C$100000,$C44,'Details-Products'!$D$7:$D$100000,$B44,'Details-Products'!$BL$7:$BL$100000,AO$10)</f>
        <v>0</v>
      </c>
      <c r="AP44" s="292">
        <f>COUNTIFS('Details-Products'!$C$7:$C$100000,$C44,'Details-Products'!$D$7:$D$100000,$B44,'Details-Products'!$BL$7:$BL$100000,AP$10,'Details-Products'!$X$7:$X$100000,"YES")</f>
        <v>0</v>
      </c>
      <c r="AQ44" s="360">
        <f>SUMIFS('Details-Products'!$Z$7:$Z$100000,'Details-Products'!$C$7:$C$100000,$C44,'Details-Products'!$D$7:$D$100000,$B44,'Details-Products'!$BL$7:$BL$100000,AQ$10,'Details-Products'!$X$7:$X$100000,"YES")</f>
        <v>0</v>
      </c>
      <c r="AR44" s="292">
        <f>COUNTIFS('Details-Products'!$C$7:$C$100000,$C44,'Details-Products'!$D$7:$D$100000,$B44,'Details-Products'!$BL$7:$BL$100000,AR$10)</f>
        <v>0</v>
      </c>
      <c r="AS44" s="292">
        <f>COUNTIFS('Details-Products'!$C$7:$C$100000,$C44,'Details-Products'!$D$7:$D$100000,$B44,'Details-Products'!$BL$7:$BL$100000,AS$10,'Details-Products'!$X$7:$X$100000,"YES")</f>
        <v>0</v>
      </c>
      <c r="AT44" s="360">
        <f>SUMIFS('Details-Products'!$Z$7:$Z$100000,'Details-Products'!$C$7:$C$100000,$C44,'Details-Products'!$D$7:$D$100000,$B44,'Details-Products'!$BL$7:$BL$100000,AT$10,'Details-Products'!$X$7:$X$100000,"YES")</f>
        <v>0</v>
      </c>
      <c r="AU44" s="292">
        <f>COUNTIFS('Details-Products'!$C$7:$C$100000,$C44,'Details-Products'!$D$7:$D$100000,$B44,'Details-Products'!$BL$7:$BL$100000,AU$10)</f>
        <v>0</v>
      </c>
      <c r="AV44" s="292">
        <f>COUNTIFS('Details-Products'!$C$7:$C$100000,$C44,'Details-Products'!$D$7:$D$100000,$B44,'Details-Products'!$BL$7:$BL$100000,AV$10,'Details-Products'!$X$7:$X$100000,"YES")</f>
        <v>0</v>
      </c>
      <c r="AW44" s="360">
        <f>SUMIFS('Details-Products'!$Z$7:$Z$100000,'Details-Products'!$C$7:$C$100000,$C44,'Details-Products'!$D$7:$D$100000,$B44,'Details-Products'!$BL$7:$BL$100000,AW$10,'Details-Products'!$X$7:$X$100000,"YES")</f>
        <v>0</v>
      </c>
      <c r="AX44" s="291">
        <f>COUNTIFS('Details-Products'!$C$7:$C$100000,$C44,'Details-Products'!$D$7:$D$100000,$B44,'Details-Products'!$BL$7:$BL$100000,AX$10)</f>
        <v>0</v>
      </c>
      <c r="AY44" s="292">
        <f>COUNTIFS('Details-Products'!$C$7:$C$100000,$C44,'Details-Products'!$D$7:$D$100000,$B44,'Details-Products'!$BL$7:$BL$100000,AY$10,'Details-Products'!$X$7:$X$100000,"YES")</f>
        <v>0</v>
      </c>
      <c r="AZ44" s="360">
        <f>SUMIFS('Details-Products'!$Z$7:$Z$100000,'Details-Products'!$C$7:$C$100000,$C44,'Details-Products'!$D$7:$D$100000,$B44,'Details-Products'!$BL$7:$BL$100000,AZ$10,'Details-Products'!$X$7:$X$100000,"YES")</f>
        <v>0</v>
      </c>
      <c r="BA44" s="291">
        <f>COUNTIFS('Details-Products'!$C$7:$C$100000,$C44,'Details-Products'!$D$7:$D$100000,$B44,'Details-Products'!$BL$7:$BL$100000,BA$10)</f>
        <v>0</v>
      </c>
      <c r="BB44" s="292">
        <f>COUNTIFS('Details-Products'!$C$7:$C$100000,$C44,'Details-Products'!$D$7:$D$100000,$B44,'Details-Products'!$BL$7:$BL$100000,BB$10,'Details-Products'!$X$7:$X$100000,"YES")</f>
        <v>0</v>
      </c>
      <c r="BC44" s="360">
        <f>SUMIFS('Details-Products'!$Z$7:$Z$100000,'Details-Products'!$C$7:$C$100000,$C44,'Details-Products'!$D$7:$D$100000,$B44,'Details-Products'!$BL$7:$BL$100000,BC$10,'Details-Products'!$X$7:$X$100000,"YES")</f>
        <v>0</v>
      </c>
      <c r="BD44" s="294">
        <f>COUNTIFS('Details-Products'!$C$7:$C$100000,$C44,'Details-Products'!$D$7:$D$100000,$B44,'Details-Products'!$BL$7:$BL$100000,BD$10)</f>
        <v>0</v>
      </c>
      <c r="BE44" s="292">
        <f>COUNTIFS('Details-Products'!$C$7:$C$100000,$C44,'Details-Products'!$D$7:$D$100000,$B44,'Details-Products'!$BL$7:$BL$100000,BE$10,'Details-Products'!$X$7:$X$100000,"YES")</f>
        <v>0</v>
      </c>
      <c r="BF44" s="360">
        <f>SUMIFS('Details-Products'!$Z$7:$Z$100000,'Details-Products'!$C$7:$C$100000,$C44,'Details-Products'!$D$7:$D$100000,$B44,'Details-Products'!$BL$7:$BL$100000,BF$10,'Details-Products'!$X$7:$X$100000,"YES")</f>
        <v>0</v>
      </c>
      <c r="BG44" s="292">
        <f t="shared" si="16"/>
        <v>0</v>
      </c>
      <c r="BH44" s="292">
        <f t="shared" si="17"/>
        <v>0</v>
      </c>
      <c r="BI44" s="360">
        <f t="shared" si="18"/>
        <v>0</v>
      </c>
      <c r="BJ44" s="240"/>
    </row>
    <row r="45" spans="1:62" ht="15.75" thickBot="1" x14ac:dyDescent="0.25">
      <c r="B45" s="41">
        <v>39</v>
      </c>
      <c r="C45" s="41">
        <v>6</v>
      </c>
      <c r="D45" s="200" t="s">
        <v>158</v>
      </c>
      <c r="E45" s="295">
        <f>COUNTIFS('Details-Products'!$C$7:$C$100000,$C45,'Details-Products'!$D$7:$D$100000,$B45,'Details-Products'!$BL$7:$BL$100000,E$10)</f>
        <v>0</v>
      </c>
      <c r="F45" s="296">
        <f>COUNTIFS('Details-Products'!$C$7:$C$100000,$C45,'Details-Products'!$D$7:$D$100000,$B45,'Details-Products'!$BL$7:$BL$100000,F$10,'Details-Products'!$X$7:$X$100000,"YES")</f>
        <v>0</v>
      </c>
      <c r="G45" s="359">
        <f>SUMIFS('Details-Products'!$Z$7:$Z$100000,'Details-Products'!$C$7:$C$100000,$C45,'Details-Products'!$D$7:$D$100000,$B45,'Details-Products'!$BL$7:$BL$100000,G$10,'Details-Products'!$X$7:$X$100000,"YES")</f>
        <v>0</v>
      </c>
      <c r="H45" s="295">
        <f>COUNTIFS('Details-Products'!$C$7:$C$100000,$C45,'Details-Products'!$D$7:$D$100000,$B45,'Details-Products'!$BL$7:$BL$100000,H$10)</f>
        <v>0</v>
      </c>
      <c r="I45" s="296">
        <f>COUNTIFS('Details-Products'!$C$7:$C$100000,$C45,'Details-Products'!$D$7:$D$100000,$B45,'Details-Products'!$BL$7:$BL$100000,I$10,'Details-Products'!$X$7:$X$100000,"YES")</f>
        <v>0</v>
      </c>
      <c r="J45" s="359">
        <f>SUMIFS('Details-Products'!$Z$7:$Z$100000,'Details-Products'!$C$7:$C$100000,$C45,'Details-Products'!$D$7:$D$100000,$B45,'Details-Products'!$BL$7:$BL$100000,J$10,'Details-Products'!$X$7:$X$100000,"YES")</f>
        <v>0</v>
      </c>
      <c r="K45" s="295">
        <f>COUNTIFS('Details-Products'!$C$7:$C$100000,$C45,'Details-Products'!$D$7:$D$100000,$B45,'Details-Products'!$BL$7:$BL$100000,K$10)</f>
        <v>0</v>
      </c>
      <c r="L45" s="296">
        <f>COUNTIFS('Details-Products'!$C$7:$C$100000,$C45,'Details-Products'!$D$7:$D$100000,$B45,'Details-Products'!$BL$7:$BL$100000,L$10,'Details-Products'!$X$7:$X$100000,"YES")</f>
        <v>0</v>
      </c>
      <c r="M45" s="359">
        <f>SUMIFS('Details-Products'!$Z$7:$Z$100000,'Details-Products'!$C$7:$C$100000,$C45,'Details-Products'!$D$7:$D$100000,$B45,'Details-Products'!$BL$7:$BL$100000,M$10,'Details-Products'!$X$7:$X$100000,"YES")</f>
        <v>0</v>
      </c>
      <c r="N45" s="466">
        <f t="shared" si="1"/>
        <v>0</v>
      </c>
      <c r="O45" s="302">
        <f t="shared" si="2"/>
        <v>0</v>
      </c>
      <c r="P45" s="354">
        <f t="shared" si="3"/>
        <v>0</v>
      </c>
      <c r="Q45" s="354">
        <f>VLOOKUP(B45,Ttl_Inv!A:E,4,FALSE)</f>
        <v>0</v>
      </c>
      <c r="R45" s="330" t="e">
        <f t="shared" si="25"/>
        <v>#DIV/0!</v>
      </c>
      <c r="S45" s="359">
        <f>SUMIFS('Additional Color Sizes Report'!$R:$R,'Additional Color Sizes Report'!$B:$B,$B45)</f>
        <v>0</v>
      </c>
      <c r="T45" s="341" t="e">
        <f t="shared" si="26"/>
        <v>#DIV/0!</v>
      </c>
      <c r="U45" s="359">
        <f t="shared" si="6"/>
        <v>0</v>
      </c>
      <c r="V45" s="321" t="e">
        <f t="shared" si="27"/>
        <v>#DIV/0!</v>
      </c>
      <c r="W45" s="295">
        <f t="shared" si="8"/>
        <v>0</v>
      </c>
      <c r="X45" s="296">
        <f t="shared" si="9"/>
        <v>0</v>
      </c>
      <c r="Y45" s="359">
        <f t="shared" si="10"/>
        <v>0</v>
      </c>
      <c r="Z45" s="295">
        <f>COUNTIFS('Details-Products'!$C$7:$C$100000,$C45,'Details-Products'!$D$7:$D$100000,$B45,'Details-Products'!$BL$7:$BL$100000,Z$10)</f>
        <v>0</v>
      </c>
      <c r="AA45" s="295">
        <f>COUNTIFS('Details-Products'!$C$7:$C$100000,$C45,'Details-Products'!$D$7:$D$100000,$B45,'Details-Products'!$BL$7:$BL$100000,AA$10,'Details-Products'!$X$7:$X$100000,"YES")</f>
        <v>0</v>
      </c>
      <c r="AB45" s="359">
        <f>SUMIFS('Details-Products'!$Z$7:$Z$100000,'Details-Products'!$C$7:$C$100000,$C45,'Details-Products'!$D$7:$D$100000,$B45,'Details-Products'!$BL$7:$BL$100000,AB$10,'Details-Products'!$X$7:$X$100000,"YES")</f>
        <v>0</v>
      </c>
      <c r="AC45" s="295">
        <f>COUNTIFS('Details-Products'!$C$7:$C$100000,$C45,'Details-Products'!$D$7:$D$100000,$B45,'Details-Products'!$BL$7:$BL$100000,AC$10)</f>
        <v>0</v>
      </c>
      <c r="AD45" s="296">
        <f>COUNTIFS('Details-Products'!$C$7:$C$100000,$C45,'Details-Products'!$D$7:$D$100000,$B45,'Details-Products'!$BL$7:$BL$100000,AD$10,'Details-Products'!$X$7:$X$100000,"YES")</f>
        <v>0</v>
      </c>
      <c r="AE45" s="359">
        <f>SUMIFS('Details-Products'!$Z$7:$Z$100000,'Details-Products'!$C$7:$C$100000,$C45,'Details-Products'!$D$7:$D$100000,$B45,'Details-Products'!$BL$7:$BL$100000,AE$10,'Details-Products'!$X$7:$X$100000,"YES")</f>
        <v>0</v>
      </c>
      <c r="AF45" s="295">
        <f>COUNTIFS('Details-Products'!$C$7:$C$100000,$C45,'Details-Products'!$D$7:$D$100000,$B45,'Details-Products'!$BL$7:$BL$100000,AF$10)</f>
        <v>0</v>
      </c>
      <c r="AG45" s="296">
        <f>COUNTIFS('Details-Products'!$C$7:$C$100000,$C45,'Details-Products'!$D$7:$D$100000,$B45,'Details-Products'!$BL$7:$BL$100000,AG$10,'Details-Products'!$X$7:$X$100000,"YES")</f>
        <v>0</v>
      </c>
      <c r="AH45" s="359">
        <f>SUMIFS('Details-Products'!$Z$7:$Z$100000,'Details-Products'!$C$7:$C$100000,$C45,'Details-Products'!$D$7:$D$100000,$B45,'Details-Products'!$BL$7:$BL$100000,AH$10,'Details-Products'!$X$7:$X$100000,"YES")</f>
        <v>0</v>
      </c>
      <c r="AI45" s="295">
        <f>COUNTIFS('Details-Products'!$C$7:$C$100000,$C45,'Details-Products'!$D$7:$D$100000,$B45,'Details-Products'!$BL$7:$BL$100000,AI$10)</f>
        <v>0</v>
      </c>
      <c r="AJ45" s="296">
        <f>COUNTIFS('Details-Products'!$C$7:$C$100000,$C45,'Details-Products'!$D$7:$D$100000,$B45,'Details-Products'!$BL$7:$BL$100000,AJ$10,'Details-Products'!$X$7:$X$100000,"YES")</f>
        <v>0</v>
      </c>
      <c r="AK45" s="359">
        <f>SUMIFS('Details-Products'!$Z$7:$Z$100000,'Details-Products'!$C$7:$C$100000,$C45,'Details-Products'!$D$7:$D$100000,$B45,'Details-Products'!$BL$7:$BL$100000,AK$10,'Details-Products'!$X$7:$X$100000,"YES")</f>
        <v>0</v>
      </c>
      <c r="AL45" s="295">
        <f t="shared" si="12"/>
        <v>0</v>
      </c>
      <c r="AM45" s="296">
        <f t="shared" si="13"/>
        <v>0</v>
      </c>
      <c r="AN45" s="359">
        <f t="shared" si="14"/>
        <v>0</v>
      </c>
      <c r="AO45" s="296">
        <f>COUNTIFS('Details-Products'!$C$7:$C$100000,$C45,'Details-Products'!$D$7:$D$100000,$B45,'Details-Products'!$BL$7:$BL$100000,AO$10)</f>
        <v>0</v>
      </c>
      <c r="AP45" s="296">
        <f>COUNTIFS('Details-Products'!$C$7:$C$100000,$C45,'Details-Products'!$D$7:$D$100000,$B45,'Details-Products'!$BL$7:$BL$100000,AP$10,'Details-Products'!$X$7:$X$100000,"YES")</f>
        <v>0</v>
      </c>
      <c r="AQ45" s="359">
        <f>SUMIFS('Details-Products'!$Z$7:$Z$100000,'Details-Products'!$C$7:$C$100000,$C45,'Details-Products'!$D$7:$D$100000,$B45,'Details-Products'!$BL$7:$BL$100000,AQ$10,'Details-Products'!$X$7:$X$100000,"YES")</f>
        <v>0</v>
      </c>
      <c r="AR45" s="296">
        <f>COUNTIFS('Details-Products'!$C$7:$C$100000,$C45,'Details-Products'!$D$7:$D$100000,$B45,'Details-Products'!$BL$7:$BL$100000,AR$10)</f>
        <v>0</v>
      </c>
      <c r="AS45" s="296">
        <f>COUNTIFS('Details-Products'!$C$7:$C$100000,$C45,'Details-Products'!$D$7:$D$100000,$B45,'Details-Products'!$BL$7:$BL$100000,AS$10,'Details-Products'!$X$7:$X$100000,"YES")</f>
        <v>0</v>
      </c>
      <c r="AT45" s="359">
        <f>SUMIFS('Details-Products'!$Z$7:$Z$100000,'Details-Products'!$C$7:$C$100000,$C45,'Details-Products'!$D$7:$D$100000,$B45,'Details-Products'!$BL$7:$BL$100000,AT$10,'Details-Products'!$X$7:$X$100000,"YES")</f>
        <v>0</v>
      </c>
      <c r="AU45" s="296">
        <f>COUNTIFS('Details-Products'!$C$7:$C$100000,$C45,'Details-Products'!$D$7:$D$100000,$B45,'Details-Products'!$BL$7:$BL$100000,AU$10)</f>
        <v>0</v>
      </c>
      <c r="AV45" s="296">
        <f>COUNTIFS('Details-Products'!$C$7:$C$100000,$C45,'Details-Products'!$D$7:$D$100000,$B45,'Details-Products'!$BL$7:$BL$100000,AV$10,'Details-Products'!$X$7:$X$100000,"YES")</f>
        <v>0</v>
      </c>
      <c r="AW45" s="359">
        <f>SUMIFS('Details-Products'!$Z$7:$Z$100000,'Details-Products'!$C$7:$C$100000,$C45,'Details-Products'!$D$7:$D$100000,$B45,'Details-Products'!$BL$7:$BL$100000,AW$10,'Details-Products'!$X$7:$X$100000,"YES")</f>
        <v>0</v>
      </c>
      <c r="AX45" s="295">
        <f>COUNTIFS('Details-Products'!$C$7:$C$100000,$C45,'Details-Products'!$D$7:$D$100000,$B45,'Details-Products'!$BL$7:$BL$100000,AX$10)</f>
        <v>0</v>
      </c>
      <c r="AY45" s="296">
        <f>COUNTIFS('Details-Products'!$C$7:$C$100000,$C45,'Details-Products'!$D$7:$D$100000,$B45,'Details-Products'!$BL$7:$BL$100000,AY$10,'Details-Products'!$X$7:$X$100000,"YES")</f>
        <v>0</v>
      </c>
      <c r="AZ45" s="359">
        <f>SUMIFS('Details-Products'!$Z$7:$Z$100000,'Details-Products'!$C$7:$C$100000,$C45,'Details-Products'!$D$7:$D$100000,$B45,'Details-Products'!$BL$7:$BL$100000,AZ$10,'Details-Products'!$X$7:$X$100000,"YES")</f>
        <v>0</v>
      </c>
      <c r="BA45" s="295">
        <f>COUNTIFS('Details-Products'!$C$7:$C$100000,$C45,'Details-Products'!$D$7:$D$100000,$B45,'Details-Products'!$BL$7:$BL$100000,BA$10)</f>
        <v>0</v>
      </c>
      <c r="BB45" s="296">
        <f>COUNTIFS('Details-Products'!$C$7:$C$100000,$C45,'Details-Products'!$D$7:$D$100000,$B45,'Details-Products'!$BL$7:$BL$100000,BB$10,'Details-Products'!$X$7:$X$100000,"YES")</f>
        <v>0</v>
      </c>
      <c r="BC45" s="359">
        <f>SUMIFS('Details-Products'!$Z$7:$Z$100000,'Details-Products'!$C$7:$C$100000,$C45,'Details-Products'!$D$7:$D$100000,$B45,'Details-Products'!$BL$7:$BL$100000,BC$10,'Details-Products'!$X$7:$X$100000,"YES")</f>
        <v>0</v>
      </c>
      <c r="BD45" s="298">
        <f>COUNTIFS('Details-Products'!$C$7:$C$100000,$C45,'Details-Products'!$D$7:$D$100000,$B45,'Details-Products'!$BL$7:$BL$100000,BD$10)</f>
        <v>0</v>
      </c>
      <c r="BE45" s="296">
        <f>COUNTIFS('Details-Products'!$C$7:$C$100000,$C45,'Details-Products'!$D$7:$D$100000,$B45,'Details-Products'!$BL$7:$BL$100000,BE$10,'Details-Products'!$X$7:$X$100000,"YES")</f>
        <v>0</v>
      </c>
      <c r="BF45" s="359">
        <f>SUMIFS('Details-Products'!$Z$7:$Z$100000,'Details-Products'!$C$7:$C$100000,$C45,'Details-Products'!$D$7:$D$100000,$B45,'Details-Products'!$BL$7:$BL$100000,BF$10,'Details-Products'!$X$7:$X$100000,"YES")</f>
        <v>0</v>
      </c>
      <c r="BG45" s="296">
        <f t="shared" si="16"/>
        <v>0</v>
      </c>
      <c r="BH45" s="296">
        <f t="shared" si="17"/>
        <v>0</v>
      </c>
      <c r="BI45" s="359">
        <f t="shared" si="18"/>
        <v>0</v>
      </c>
      <c r="BJ45" s="240"/>
    </row>
    <row r="46" spans="1:62" ht="18" customHeight="1" thickBot="1" x14ac:dyDescent="0.25">
      <c r="B46" s="41"/>
      <c r="C46" s="41">
        <v>7</v>
      </c>
      <c r="D46" s="201" t="s">
        <v>159</v>
      </c>
      <c r="E46" s="285">
        <f t="shared" ref="E46:M46" si="31">SUM(E47:E49)</f>
        <v>0</v>
      </c>
      <c r="F46" s="286">
        <f t="shared" si="31"/>
        <v>0</v>
      </c>
      <c r="G46" s="361">
        <f t="shared" si="31"/>
        <v>0</v>
      </c>
      <c r="H46" s="285">
        <f t="shared" si="31"/>
        <v>0</v>
      </c>
      <c r="I46" s="286">
        <f t="shared" si="31"/>
        <v>0</v>
      </c>
      <c r="J46" s="361">
        <f t="shared" si="31"/>
        <v>0</v>
      </c>
      <c r="K46" s="285">
        <f t="shared" si="31"/>
        <v>0</v>
      </c>
      <c r="L46" s="286">
        <f t="shared" si="31"/>
        <v>0</v>
      </c>
      <c r="M46" s="361">
        <f t="shared" si="31"/>
        <v>0</v>
      </c>
      <c r="N46" s="464">
        <f t="shared" si="1"/>
        <v>0</v>
      </c>
      <c r="O46" s="287">
        <f t="shared" si="2"/>
        <v>0</v>
      </c>
      <c r="P46" s="351">
        <f t="shared" si="3"/>
        <v>0</v>
      </c>
      <c r="Q46" s="351">
        <f>SUM(Q47:Q49)</f>
        <v>0</v>
      </c>
      <c r="R46" s="325" t="e">
        <f t="shared" si="25"/>
        <v>#DIV/0!</v>
      </c>
      <c r="S46" s="361">
        <f>SUM(S47:S49)</f>
        <v>0</v>
      </c>
      <c r="T46" s="338" t="e">
        <f t="shared" si="26"/>
        <v>#DIV/0!</v>
      </c>
      <c r="U46" s="361">
        <f t="shared" si="6"/>
        <v>0</v>
      </c>
      <c r="V46" s="319" t="e">
        <f t="shared" si="27"/>
        <v>#DIV/0!</v>
      </c>
      <c r="W46" s="288">
        <f t="shared" si="8"/>
        <v>0</v>
      </c>
      <c r="X46" s="289">
        <f t="shared" si="9"/>
        <v>0</v>
      </c>
      <c r="Y46" s="361">
        <f t="shared" si="10"/>
        <v>0</v>
      </c>
      <c r="Z46" s="288">
        <f t="shared" ref="Z46:AK46" si="32">SUM(Z47:Z49)</f>
        <v>0</v>
      </c>
      <c r="AA46" s="288">
        <f t="shared" si="32"/>
        <v>0</v>
      </c>
      <c r="AB46" s="361">
        <f t="shared" si="32"/>
        <v>0</v>
      </c>
      <c r="AC46" s="288">
        <f t="shared" si="32"/>
        <v>0</v>
      </c>
      <c r="AD46" s="289">
        <f t="shared" si="32"/>
        <v>0</v>
      </c>
      <c r="AE46" s="361">
        <f t="shared" si="32"/>
        <v>0</v>
      </c>
      <c r="AF46" s="288">
        <f t="shared" si="32"/>
        <v>0</v>
      </c>
      <c r="AG46" s="289">
        <f t="shared" si="32"/>
        <v>0</v>
      </c>
      <c r="AH46" s="361">
        <f t="shared" si="32"/>
        <v>0</v>
      </c>
      <c r="AI46" s="288">
        <f t="shared" si="32"/>
        <v>0</v>
      </c>
      <c r="AJ46" s="289">
        <f t="shared" si="32"/>
        <v>0</v>
      </c>
      <c r="AK46" s="361">
        <f t="shared" si="32"/>
        <v>0</v>
      </c>
      <c r="AL46" s="288">
        <f t="shared" si="12"/>
        <v>0</v>
      </c>
      <c r="AM46" s="289">
        <f t="shared" si="13"/>
        <v>0</v>
      </c>
      <c r="AN46" s="361">
        <f t="shared" si="14"/>
        <v>0</v>
      </c>
      <c r="AO46" s="289">
        <f t="shared" ref="AO46:BF46" si="33">SUM(AO47:AO49)</f>
        <v>0</v>
      </c>
      <c r="AP46" s="289">
        <f t="shared" si="33"/>
        <v>0</v>
      </c>
      <c r="AQ46" s="361">
        <f t="shared" si="33"/>
        <v>0</v>
      </c>
      <c r="AR46" s="289">
        <f t="shared" si="33"/>
        <v>0</v>
      </c>
      <c r="AS46" s="289">
        <f t="shared" si="33"/>
        <v>0</v>
      </c>
      <c r="AT46" s="361">
        <f t="shared" si="33"/>
        <v>0</v>
      </c>
      <c r="AU46" s="289">
        <f t="shared" si="33"/>
        <v>0</v>
      </c>
      <c r="AV46" s="289">
        <f t="shared" si="33"/>
        <v>0</v>
      </c>
      <c r="AW46" s="361">
        <f t="shared" si="33"/>
        <v>0</v>
      </c>
      <c r="AX46" s="288">
        <f t="shared" si="33"/>
        <v>0</v>
      </c>
      <c r="AY46" s="289">
        <f t="shared" si="33"/>
        <v>0</v>
      </c>
      <c r="AZ46" s="361">
        <f t="shared" si="33"/>
        <v>0</v>
      </c>
      <c r="BA46" s="288">
        <f t="shared" si="33"/>
        <v>0</v>
      </c>
      <c r="BB46" s="289">
        <f t="shared" si="33"/>
        <v>0</v>
      </c>
      <c r="BC46" s="361">
        <f t="shared" si="33"/>
        <v>0</v>
      </c>
      <c r="BD46" s="290">
        <f t="shared" si="33"/>
        <v>0</v>
      </c>
      <c r="BE46" s="289">
        <f t="shared" si="33"/>
        <v>0</v>
      </c>
      <c r="BF46" s="361">
        <f t="shared" si="33"/>
        <v>0</v>
      </c>
      <c r="BG46" s="289">
        <f t="shared" si="16"/>
        <v>0</v>
      </c>
      <c r="BH46" s="289">
        <f t="shared" si="17"/>
        <v>0</v>
      </c>
      <c r="BI46" s="361">
        <f t="shared" si="18"/>
        <v>0</v>
      </c>
      <c r="BJ46" s="240"/>
    </row>
    <row r="47" spans="1:62" ht="15.75" thickBot="1" x14ac:dyDescent="0.25">
      <c r="A47" s="59" t="s">
        <v>199</v>
      </c>
      <c r="B47" s="41">
        <v>27</v>
      </c>
      <c r="C47" s="41">
        <v>7</v>
      </c>
      <c r="D47" s="199" t="s">
        <v>160</v>
      </c>
      <c r="E47" s="291">
        <f>COUNTIFS('Details-Products'!$C$7:$C$100000,$C47,'Details-Products'!$D$7:$D$100000,$B47,'Details-Products'!$BL$7:$BL$100000,E$10)</f>
        <v>0</v>
      </c>
      <c r="F47" s="292">
        <f>COUNTIFS('Details-Products'!$C$7:$C$100000,$C47,'Details-Products'!$D$7:$D$100000,$B47,'Details-Products'!$BL$7:$BL$100000,F$10,'Details-Products'!$X$7:$X$100000,"YES")</f>
        <v>0</v>
      </c>
      <c r="G47" s="360">
        <f>SUMIFS('Details-Products'!$Z$7:$Z$100000,'Details-Products'!$C$7:$C$100000,$C47,'Details-Products'!$D$7:$D$100000,$B47,'Details-Products'!$BL$7:$BL$100000,G$10,'Details-Products'!$X$7:$X$100000,"YES")</f>
        <v>0</v>
      </c>
      <c r="H47" s="291">
        <f>COUNTIFS('Details-Products'!$C$7:$C$100000,$C47,'Details-Products'!$D$7:$D$100000,$B47,'Details-Products'!$BL$7:$BL$100000,H$10)</f>
        <v>0</v>
      </c>
      <c r="I47" s="292">
        <f>COUNTIFS('Details-Products'!$C$7:$C$100000,$C47,'Details-Products'!$D$7:$D$100000,$B47,'Details-Products'!$BL$7:$BL$100000,I$10,'Details-Products'!$X$7:$X$100000,"YES")</f>
        <v>0</v>
      </c>
      <c r="J47" s="360">
        <f>SUMIFS('Details-Products'!$Z$7:$Z$100000,'Details-Products'!$C$7:$C$100000,$C47,'Details-Products'!$D$7:$D$100000,$B47,'Details-Products'!$BL$7:$BL$100000,J$10,'Details-Products'!$X$7:$X$100000,"YES")</f>
        <v>0</v>
      </c>
      <c r="K47" s="291">
        <f>COUNTIFS('Details-Products'!$C$7:$C$100000,$C47,'Details-Products'!$D$7:$D$100000,$B47,'Details-Products'!$BL$7:$BL$100000,K$10)</f>
        <v>0</v>
      </c>
      <c r="L47" s="292">
        <f>COUNTIFS('Details-Products'!$C$7:$C$100000,$C47,'Details-Products'!$D$7:$D$100000,$B47,'Details-Products'!$BL$7:$BL$100000,L$10,'Details-Products'!$X$7:$X$100000,"YES")</f>
        <v>0</v>
      </c>
      <c r="M47" s="360">
        <f>SUMIFS('Details-Products'!$Z$7:$Z$100000,'Details-Products'!$C$7:$C$100000,$C47,'Details-Products'!$D$7:$D$100000,$B47,'Details-Products'!$BL$7:$BL$100000,M$10,'Details-Products'!$X$7:$X$100000,"YES")</f>
        <v>0</v>
      </c>
      <c r="N47" s="467">
        <f t="shared" si="1"/>
        <v>0</v>
      </c>
      <c r="O47" s="303">
        <f t="shared" si="2"/>
        <v>0</v>
      </c>
      <c r="P47" s="355">
        <f t="shared" si="3"/>
        <v>0</v>
      </c>
      <c r="Q47" s="355">
        <f>VLOOKUP(B47,Ttl_Inv!A:E,4,FALSE)</f>
        <v>0</v>
      </c>
      <c r="R47" s="331" t="e">
        <f t="shared" si="25"/>
        <v>#DIV/0!</v>
      </c>
      <c r="S47" s="360">
        <f>SUMIFS('Additional Color Sizes Report'!$R:$R,'Additional Color Sizes Report'!$B:$B,$B47)</f>
        <v>0</v>
      </c>
      <c r="T47" s="342" t="e">
        <f t="shared" si="26"/>
        <v>#DIV/0!</v>
      </c>
      <c r="U47" s="360">
        <f t="shared" si="6"/>
        <v>0</v>
      </c>
      <c r="V47" s="322" t="e">
        <f t="shared" si="27"/>
        <v>#DIV/0!</v>
      </c>
      <c r="W47" s="291">
        <f t="shared" si="8"/>
        <v>0</v>
      </c>
      <c r="X47" s="292">
        <f t="shared" si="9"/>
        <v>0</v>
      </c>
      <c r="Y47" s="360">
        <f t="shared" si="10"/>
        <v>0</v>
      </c>
      <c r="Z47" s="291">
        <f>COUNTIFS('Details-Products'!$C$7:$C$100000,$C47,'Details-Products'!$D$7:$D$100000,$B47,'Details-Products'!$BL$7:$BL$100000,Z$10)</f>
        <v>0</v>
      </c>
      <c r="AA47" s="291">
        <f>COUNTIFS('Details-Products'!$C$7:$C$100000,$C47,'Details-Products'!$D$7:$D$100000,$B47,'Details-Products'!$BL$7:$BL$100000,AA$10,'Details-Products'!$X$7:$X$100000,"YES")</f>
        <v>0</v>
      </c>
      <c r="AB47" s="360">
        <f>SUMIFS('Details-Products'!$Z$7:$Z$100000,'Details-Products'!$C$7:$C$100000,$C47,'Details-Products'!$D$7:$D$100000,$B47,'Details-Products'!$BL$7:$BL$100000,AB$10,'Details-Products'!$X$7:$X$100000,"YES")</f>
        <v>0</v>
      </c>
      <c r="AC47" s="291">
        <f>COUNTIFS('Details-Products'!$C$7:$C$100000,$C47,'Details-Products'!$D$7:$D$100000,$B47,'Details-Products'!$BL$7:$BL$100000,AC$10)</f>
        <v>0</v>
      </c>
      <c r="AD47" s="292">
        <f>COUNTIFS('Details-Products'!$C$7:$C$100000,$C47,'Details-Products'!$D$7:$D$100000,$B47,'Details-Products'!$BL$7:$BL$100000,AD$10,'Details-Products'!$X$7:$X$100000,"YES")</f>
        <v>0</v>
      </c>
      <c r="AE47" s="360">
        <f>SUMIFS('Details-Products'!$Z$7:$Z$100000,'Details-Products'!$C$7:$C$100000,$C47,'Details-Products'!$D$7:$D$100000,$B47,'Details-Products'!$BL$7:$BL$100000,AE$10,'Details-Products'!$X$7:$X$100000,"YES")</f>
        <v>0</v>
      </c>
      <c r="AF47" s="291">
        <f>COUNTIFS('Details-Products'!$C$7:$C$100000,$C47,'Details-Products'!$D$7:$D$100000,$B47,'Details-Products'!$BL$7:$BL$100000,AF$10)</f>
        <v>0</v>
      </c>
      <c r="AG47" s="292">
        <f>COUNTIFS('Details-Products'!$C$7:$C$100000,$C47,'Details-Products'!$D$7:$D$100000,$B47,'Details-Products'!$BL$7:$BL$100000,AG$10,'Details-Products'!$X$7:$X$100000,"YES")</f>
        <v>0</v>
      </c>
      <c r="AH47" s="360">
        <f>SUMIFS('Details-Products'!$Z$7:$Z$100000,'Details-Products'!$C$7:$C$100000,$C47,'Details-Products'!$D$7:$D$100000,$B47,'Details-Products'!$BL$7:$BL$100000,AH$10,'Details-Products'!$X$7:$X$100000,"YES")</f>
        <v>0</v>
      </c>
      <c r="AI47" s="291">
        <f>COUNTIFS('Details-Products'!$C$7:$C$100000,$C47,'Details-Products'!$D$7:$D$100000,$B47,'Details-Products'!$BL$7:$BL$100000,AI$10)</f>
        <v>0</v>
      </c>
      <c r="AJ47" s="292">
        <f>COUNTIFS('Details-Products'!$C$7:$C$100000,$C47,'Details-Products'!$D$7:$D$100000,$B47,'Details-Products'!$BL$7:$BL$100000,AJ$10,'Details-Products'!$X$7:$X$100000,"YES")</f>
        <v>0</v>
      </c>
      <c r="AK47" s="360">
        <f>SUMIFS('Details-Products'!$Z$7:$Z$100000,'Details-Products'!$C$7:$C$100000,$C47,'Details-Products'!$D$7:$D$100000,$B47,'Details-Products'!$BL$7:$BL$100000,AK$10,'Details-Products'!$X$7:$X$100000,"YES")</f>
        <v>0</v>
      </c>
      <c r="AL47" s="291">
        <f t="shared" si="12"/>
        <v>0</v>
      </c>
      <c r="AM47" s="292">
        <f t="shared" si="13"/>
        <v>0</v>
      </c>
      <c r="AN47" s="360">
        <f t="shared" si="14"/>
        <v>0</v>
      </c>
      <c r="AO47" s="292">
        <f>COUNTIFS('Details-Products'!$C$7:$C$100000,$C47,'Details-Products'!$D$7:$D$100000,$B47,'Details-Products'!$BL$7:$BL$100000,AO$10)</f>
        <v>0</v>
      </c>
      <c r="AP47" s="292">
        <f>COUNTIFS('Details-Products'!$C$7:$C$100000,$C47,'Details-Products'!$D$7:$D$100000,$B47,'Details-Products'!$BL$7:$BL$100000,AP$10,'Details-Products'!$X$7:$X$100000,"YES")</f>
        <v>0</v>
      </c>
      <c r="AQ47" s="360">
        <f>SUMIFS('Details-Products'!$Z$7:$Z$100000,'Details-Products'!$C$7:$C$100000,$C47,'Details-Products'!$D$7:$D$100000,$B47,'Details-Products'!$BL$7:$BL$100000,AQ$10,'Details-Products'!$X$7:$X$100000,"YES")</f>
        <v>0</v>
      </c>
      <c r="AR47" s="292">
        <f>COUNTIFS('Details-Products'!$C$7:$C$100000,$C47,'Details-Products'!$D$7:$D$100000,$B47,'Details-Products'!$BL$7:$BL$100000,AR$10)</f>
        <v>0</v>
      </c>
      <c r="AS47" s="292">
        <f>COUNTIFS('Details-Products'!$C$7:$C$100000,$C47,'Details-Products'!$D$7:$D$100000,$B47,'Details-Products'!$BL$7:$BL$100000,AS$10,'Details-Products'!$X$7:$X$100000,"YES")</f>
        <v>0</v>
      </c>
      <c r="AT47" s="360">
        <f>SUMIFS('Details-Products'!$Z$7:$Z$100000,'Details-Products'!$C$7:$C$100000,$C47,'Details-Products'!$D$7:$D$100000,$B47,'Details-Products'!$BL$7:$BL$100000,AT$10,'Details-Products'!$X$7:$X$100000,"YES")</f>
        <v>0</v>
      </c>
      <c r="AU47" s="292">
        <f>COUNTIFS('Details-Products'!$C$7:$C$100000,$C47,'Details-Products'!$D$7:$D$100000,$B47,'Details-Products'!$BL$7:$BL$100000,AU$10)</f>
        <v>0</v>
      </c>
      <c r="AV47" s="292">
        <f>COUNTIFS('Details-Products'!$C$7:$C$100000,$C47,'Details-Products'!$D$7:$D$100000,$B47,'Details-Products'!$BL$7:$BL$100000,AV$10,'Details-Products'!$X$7:$X$100000,"YES")</f>
        <v>0</v>
      </c>
      <c r="AW47" s="360">
        <f>SUMIFS('Details-Products'!$Z$7:$Z$100000,'Details-Products'!$C$7:$C$100000,$C47,'Details-Products'!$D$7:$D$100000,$B47,'Details-Products'!$BL$7:$BL$100000,AW$10,'Details-Products'!$X$7:$X$100000,"YES")</f>
        <v>0</v>
      </c>
      <c r="AX47" s="291">
        <f>COUNTIFS('Details-Products'!$C$7:$C$100000,$C47,'Details-Products'!$D$7:$D$100000,$B47,'Details-Products'!$BL$7:$BL$100000,AX$10)</f>
        <v>0</v>
      </c>
      <c r="AY47" s="292">
        <f>COUNTIFS('Details-Products'!$C$7:$C$100000,$C47,'Details-Products'!$D$7:$D$100000,$B47,'Details-Products'!$BL$7:$BL$100000,AY$10,'Details-Products'!$X$7:$X$100000,"YES")</f>
        <v>0</v>
      </c>
      <c r="AZ47" s="360">
        <f>SUMIFS('Details-Products'!$Z$7:$Z$100000,'Details-Products'!$C$7:$C$100000,$C47,'Details-Products'!$D$7:$D$100000,$B47,'Details-Products'!$BL$7:$BL$100000,AZ$10,'Details-Products'!$X$7:$X$100000,"YES")</f>
        <v>0</v>
      </c>
      <c r="BA47" s="291">
        <f>COUNTIFS('Details-Products'!$C$7:$C$100000,$C47,'Details-Products'!$D$7:$D$100000,$B47,'Details-Products'!$BL$7:$BL$100000,BA$10)</f>
        <v>0</v>
      </c>
      <c r="BB47" s="292">
        <f>COUNTIFS('Details-Products'!$C$7:$C$100000,$C47,'Details-Products'!$D$7:$D$100000,$B47,'Details-Products'!$BL$7:$BL$100000,BB$10,'Details-Products'!$X$7:$X$100000,"YES")</f>
        <v>0</v>
      </c>
      <c r="BC47" s="360">
        <f>SUMIFS('Details-Products'!$Z$7:$Z$100000,'Details-Products'!$C$7:$C$100000,$C47,'Details-Products'!$D$7:$D$100000,$B47,'Details-Products'!$BL$7:$BL$100000,BC$10,'Details-Products'!$X$7:$X$100000,"YES")</f>
        <v>0</v>
      </c>
      <c r="BD47" s="294">
        <f>COUNTIFS('Details-Products'!$C$7:$C$100000,$C47,'Details-Products'!$D$7:$D$100000,$B47,'Details-Products'!$BL$7:$BL$100000,BD$10)</f>
        <v>0</v>
      </c>
      <c r="BE47" s="292">
        <f>COUNTIFS('Details-Products'!$C$7:$C$100000,$C47,'Details-Products'!$D$7:$D$100000,$B47,'Details-Products'!$BL$7:$BL$100000,BE$10,'Details-Products'!$X$7:$X$100000,"YES")</f>
        <v>0</v>
      </c>
      <c r="BF47" s="360">
        <f>SUMIFS('Details-Products'!$Z$7:$Z$100000,'Details-Products'!$C$7:$C$100000,$C47,'Details-Products'!$D$7:$D$100000,$B47,'Details-Products'!$BL$7:$BL$100000,BF$10,'Details-Products'!$X$7:$X$100000,"YES")</f>
        <v>0</v>
      </c>
      <c r="BG47" s="292">
        <f t="shared" si="16"/>
        <v>0</v>
      </c>
      <c r="BH47" s="292">
        <f t="shared" si="17"/>
        <v>0</v>
      </c>
      <c r="BI47" s="360">
        <f t="shared" si="18"/>
        <v>0</v>
      </c>
      <c r="BJ47" s="240"/>
    </row>
    <row r="48" spans="1:62" ht="15" x14ac:dyDescent="0.2">
      <c r="B48" s="41">
        <v>38</v>
      </c>
      <c r="C48" s="41">
        <v>7</v>
      </c>
      <c r="D48" s="200" t="s">
        <v>161</v>
      </c>
      <c r="E48" s="295">
        <f>COUNTIFS('Details-Products'!$C$7:$C$100000,$C48,'Details-Products'!$D$7:$D$100000,$B48,'Details-Products'!$BL$7:$BL$100000,E$10)</f>
        <v>0</v>
      </c>
      <c r="F48" s="296">
        <f>COUNTIFS('Details-Products'!$C$7:$C$100000,$C48,'Details-Products'!$D$7:$D$100000,$B48,'Details-Products'!$BL$7:$BL$100000,F$10,'Details-Products'!$X$7:$X$100000,"YES")</f>
        <v>0</v>
      </c>
      <c r="G48" s="359">
        <f>SUMIFS('Details-Products'!$Z$7:$Z$100000,'Details-Products'!$C$7:$C$100000,$C48,'Details-Products'!$D$7:$D$100000,$B48,'Details-Products'!$BL$7:$BL$100000,G$10,'Details-Products'!$X$7:$X$100000,"YES")</f>
        <v>0</v>
      </c>
      <c r="H48" s="295">
        <f>COUNTIFS('Details-Products'!$C$7:$C$100000,$C48,'Details-Products'!$D$7:$D$100000,$B48,'Details-Products'!$BL$7:$BL$100000,H$10)</f>
        <v>0</v>
      </c>
      <c r="I48" s="296">
        <f>COUNTIFS('Details-Products'!$C$7:$C$100000,$C48,'Details-Products'!$D$7:$D$100000,$B48,'Details-Products'!$BL$7:$BL$100000,I$10,'Details-Products'!$X$7:$X$100000,"YES")</f>
        <v>0</v>
      </c>
      <c r="J48" s="359">
        <f>SUMIFS('Details-Products'!$Z$7:$Z$100000,'Details-Products'!$C$7:$C$100000,$C48,'Details-Products'!$D$7:$D$100000,$B48,'Details-Products'!$BL$7:$BL$100000,J$10,'Details-Products'!$X$7:$X$100000,"YES")</f>
        <v>0</v>
      </c>
      <c r="K48" s="295">
        <f>COUNTIFS('Details-Products'!$C$7:$C$100000,$C48,'Details-Products'!$D$7:$D$100000,$B48,'Details-Products'!$BL$7:$BL$100000,K$10)</f>
        <v>0</v>
      </c>
      <c r="L48" s="296">
        <f>COUNTIFS('Details-Products'!$C$7:$C$100000,$C48,'Details-Products'!$D$7:$D$100000,$B48,'Details-Products'!$BL$7:$BL$100000,L$10,'Details-Products'!$X$7:$X$100000,"YES")</f>
        <v>0</v>
      </c>
      <c r="M48" s="359">
        <f>SUMIFS('Details-Products'!$Z$7:$Z$100000,'Details-Products'!$C$7:$C$100000,$C48,'Details-Products'!$D$7:$D$100000,$B48,'Details-Products'!$BL$7:$BL$100000,M$10,'Details-Products'!$X$7:$X$100000,"YES")</f>
        <v>0</v>
      </c>
      <c r="N48" s="466">
        <f t="shared" si="1"/>
        <v>0</v>
      </c>
      <c r="O48" s="302">
        <f t="shared" si="2"/>
        <v>0</v>
      </c>
      <c r="P48" s="354">
        <f t="shared" si="3"/>
        <v>0</v>
      </c>
      <c r="Q48" s="354">
        <f>VLOOKUP(B48,Ttl_Inv!A:E,4,FALSE)</f>
        <v>0</v>
      </c>
      <c r="R48" s="330" t="e">
        <f t="shared" si="25"/>
        <v>#DIV/0!</v>
      </c>
      <c r="S48" s="359">
        <f>SUMIFS('Additional Color Sizes Report'!$R:$R,'Additional Color Sizes Report'!$B:$B,$B48)</f>
        <v>0</v>
      </c>
      <c r="T48" s="343" t="e">
        <f t="shared" si="26"/>
        <v>#DIV/0!</v>
      </c>
      <c r="U48" s="359">
        <f t="shared" si="6"/>
        <v>0</v>
      </c>
      <c r="V48" s="321" t="e">
        <f t="shared" si="27"/>
        <v>#DIV/0!</v>
      </c>
      <c r="W48" s="295">
        <f t="shared" si="8"/>
        <v>0</v>
      </c>
      <c r="X48" s="296">
        <f t="shared" si="9"/>
        <v>0</v>
      </c>
      <c r="Y48" s="359">
        <f t="shared" si="10"/>
        <v>0</v>
      </c>
      <c r="Z48" s="295">
        <f>COUNTIFS('Details-Products'!$C$7:$C$100000,$C48,'Details-Products'!$D$7:$D$100000,$B48,'Details-Products'!$BL$7:$BL$100000,Z$10)</f>
        <v>0</v>
      </c>
      <c r="AA48" s="295">
        <f>COUNTIFS('Details-Products'!$C$7:$C$100000,$C48,'Details-Products'!$D$7:$D$100000,$B48,'Details-Products'!$BL$7:$BL$100000,AA$10,'Details-Products'!$X$7:$X$100000,"YES")</f>
        <v>0</v>
      </c>
      <c r="AB48" s="359">
        <f>SUMIFS('Details-Products'!$Z$7:$Z$100000,'Details-Products'!$C$7:$C$100000,$C48,'Details-Products'!$D$7:$D$100000,$B48,'Details-Products'!$BL$7:$BL$100000,AB$10,'Details-Products'!$X$7:$X$100000,"YES")</f>
        <v>0</v>
      </c>
      <c r="AC48" s="295">
        <f>COUNTIFS('Details-Products'!$C$7:$C$100000,$C48,'Details-Products'!$D$7:$D$100000,$B48,'Details-Products'!$BL$7:$BL$100000,AC$10)</f>
        <v>0</v>
      </c>
      <c r="AD48" s="296">
        <f>COUNTIFS('Details-Products'!$C$7:$C$100000,$C48,'Details-Products'!$D$7:$D$100000,$B48,'Details-Products'!$BL$7:$BL$100000,AD$10,'Details-Products'!$X$7:$X$100000,"YES")</f>
        <v>0</v>
      </c>
      <c r="AE48" s="359">
        <f>SUMIFS('Details-Products'!$Z$7:$Z$100000,'Details-Products'!$C$7:$C$100000,$C48,'Details-Products'!$D$7:$D$100000,$B48,'Details-Products'!$BL$7:$BL$100000,AE$10,'Details-Products'!$X$7:$X$100000,"YES")</f>
        <v>0</v>
      </c>
      <c r="AF48" s="295">
        <f>COUNTIFS('Details-Products'!$C$7:$C$100000,$C48,'Details-Products'!$D$7:$D$100000,$B48,'Details-Products'!$BL$7:$BL$100000,AF$10)</f>
        <v>0</v>
      </c>
      <c r="AG48" s="296">
        <f>COUNTIFS('Details-Products'!$C$7:$C$100000,$C48,'Details-Products'!$D$7:$D$100000,$B48,'Details-Products'!$BL$7:$BL$100000,AG$10,'Details-Products'!$X$7:$X$100000,"YES")</f>
        <v>0</v>
      </c>
      <c r="AH48" s="359">
        <f>SUMIFS('Details-Products'!$Z$7:$Z$100000,'Details-Products'!$C$7:$C$100000,$C48,'Details-Products'!$D$7:$D$100000,$B48,'Details-Products'!$BL$7:$BL$100000,AH$10,'Details-Products'!$X$7:$X$100000,"YES")</f>
        <v>0</v>
      </c>
      <c r="AI48" s="295">
        <f>COUNTIFS('Details-Products'!$C$7:$C$100000,$C48,'Details-Products'!$D$7:$D$100000,$B48,'Details-Products'!$BL$7:$BL$100000,AI$10)</f>
        <v>0</v>
      </c>
      <c r="AJ48" s="296">
        <f>COUNTIFS('Details-Products'!$C$7:$C$100000,$C48,'Details-Products'!$D$7:$D$100000,$B48,'Details-Products'!$BL$7:$BL$100000,AJ$10,'Details-Products'!$X$7:$X$100000,"YES")</f>
        <v>0</v>
      </c>
      <c r="AK48" s="359">
        <f>SUMIFS('Details-Products'!$Z$7:$Z$100000,'Details-Products'!$C$7:$C$100000,$C48,'Details-Products'!$D$7:$D$100000,$B48,'Details-Products'!$BL$7:$BL$100000,AK$10,'Details-Products'!$X$7:$X$100000,"YES")</f>
        <v>0</v>
      </c>
      <c r="AL48" s="295">
        <f t="shared" si="12"/>
        <v>0</v>
      </c>
      <c r="AM48" s="296">
        <f t="shared" si="13"/>
        <v>0</v>
      </c>
      <c r="AN48" s="359">
        <f t="shared" si="14"/>
        <v>0</v>
      </c>
      <c r="AO48" s="296">
        <f>COUNTIFS('Details-Products'!$C$7:$C$100000,$C48,'Details-Products'!$D$7:$D$100000,$B48,'Details-Products'!$BL$7:$BL$100000,AO$10)</f>
        <v>0</v>
      </c>
      <c r="AP48" s="296">
        <f>COUNTIFS('Details-Products'!$C$7:$C$100000,$C48,'Details-Products'!$D$7:$D$100000,$B48,'Details-Products'!$BL$7:$BL$100000,AP$10,'Details-Products'!$X$7:$X$100000,"YES")</f>
        <v>0</v>
      </c>
      <c r="AQ48" s="359">
        <f>SUMIFS('Details-Products'!$Z$7:$Z$100000,'Details-Products'!$C$7:$C$100000,$C48,'Details-Products'!$D$7:$D$100000,$B48,'Details-Products'!$BL$7:$BL$100000,AQ$10,'Details-Products'!$X$7:$X$100000,"YES")</f>
        <v>0</v>
      </c>
      <c r="AR48" s="296">
        <f>COUNTIFS('Details-Products'!$C$7:$C$100000,$C48,'Details-Products'!$D$7:$D$100000,$B48,'Details-Products'!$BL$7:$BL$100000,AR$10)</f>
        <v>0</v>
      </c>
      <c r="AS48" s="296">
        <f>COUNTIFS('Details-Products'!$C$7:$C$100000,$C48,'Details-Products'!$D$7:$D$100000,$B48,'Details-Products'!$BL$7:$BL$100000,AS$10,'Details-Products'!$X$7:$X$100000,"YES")</f>
        <v>0</v>
      </c>
      <c r="AT48" s="359">
        <f>SUMIFS('Details-Products'!$Z$7:$Z$100000,'Details-Products'!$C$7:$C$100000,$C48,'Details-Products'!$D$7:$D$100000,$B48,'Details-Products'!$BL$7:$BL$100000,AT$10,'Details-Products'!$X$7:$X$100000,"YES")</f>
        <v>0</v>
      </c>
      <c r="AU48" s="296">
        <f>COUNTIFS('Details-Products'!$C$7:$C$100000,$C48,'Details-Products'!$D$7:$D$100000,$B48,'Details-Products'!$BL$7:$BL$100000,AU$10)</f>
        <v>0</v>
      </c>
      <c r="AV48" s="296">
        <f>COUNTIFS('Details-Products'!$C$7:$C$100000,$C48,'Details-Products'!$D$7:$D$100000,$B48,'Details-Products'!$BL$7:$BL$100000,AV$10,'Details-Products'!$X$7:$X$100000,"YES")</f>
        <v>0</v>
      </c>
      <c r="AW48" s="359">
        <f>SUMIFS('Details-Products'!$Z$7:$Z$100000,'Details-Products'!$C$7:$C$100000,$C48,'Details-Products'!$D$7:$D$100000,$B48,'Details-Products'!$BL$7:$BL$100000,AW$10,'Details-Products'!$X$7:$X$100000,"YES")</f>
        <v>0</v>
      </c>
      <c r="AX48" s="295">
        <f>COUNTIFS('Details-Products'!$C$7:$C$100000,$C48,'Details-Products'!$D$7:$D$100000,$B48,'Details-Products'!$BL$7:$BL$100000,AX$10)</f>
        <v>0</v>
      </c>
      <c r="AY48" s="296">
        <f>COUNTIFS('Details-Products'!$C$7:$C$100000,$C48,'Details-Products'!$D$7:$D$100000,$B48,'Details-Products'!$BL$7:$BL$100000,AY$10,'Details-Products'!$X$7:$X$100000,"YES")</f>
        <v>0</v>
      </c>
      <c r="AZ48" s="359">
        <f>SUMIFS('Details-Products'!$Z$7:$Z$100000,'Details-Products'!$C$7:$C$100000,$C48,'Details-Products'!$D$7:$D$100000,$B48,'Details-Products'!$BL$7:$BL$100000,AZ$10,'Details-Products'!$X$7:$X$100000,"YES")</f>
        <v>0</v>
      </c>
      <c r="BA48" s="295">
        <f>COUNTIFS('Details-Products'!$C$7:$C$100000,$C48,'Details-Products'!$D$7:$D$100000,$B48,'Details-Products'!$BL$7:$BL$100000,BA$10)</f>
        <v>0</v>
      </c>
      <c r="BB48" s="296">
        <f>COUNTIFS('Details-Products'!$C$7:$C$100000,$C48,'Details-Products'!$D$7:$D$100000,$B48,'Details-Products'!$BL$7:$BL$100000,BB$10,'Details-Products'!$X$7:$X$100000,"YES")</f>
        <v>0</v>
      </c>
      <c r="BC48" s="359">
        <f>SUMIFS('Details-Products'!$Z$7:$Z$100000,'Details-Products'!$C$7:$C$100000,$C48,'Details-Products'!$D$7:$D$100000,$B48,'Details-Products'!$BL$7:$BL$100000,BC$10,'Details-Products'!$X$7:$X$100000,"YES")</f>
        <v>0</v>
      </c>
      <c r="BD48" s="298">
        <f>COUNTIFS('Details-Products'!$C$7:$C$100000,$C48,'Details-Products'!$D$7:$D$100000,$B48,'Details-Products'!$BL$7:$BL$100000,BD$10)</f>
        <v>0</v>
      </c>
      <c r="BE48" s="296">
        <f>COUNTIFS('Details-Products'!$C$7:$C$100000,$C48,'Details-Products'!$D$7:$D$100000,$B48,'Details-Products'!$BL$7:$BL$100000,BE$10,'Details-Products'!$X$7:$X$100000,"YES")</f>
        <v>0</v>
      </c>
      <c r="BF48" s="359">
        <f>SUMIFS('Details-Products'!$Z$7:$Z$100000,'Details-Products'!$C$7:$C$100000,$C48,'Details-Products'!$D$7:$D$100000,$B48,'Details-Products'!$BL$7:$BL$100000,BF$10,'Details-Products'!$X$7:$X$100000,"YES")</f>
        <v>0</v>
      </c>
      <c r="BG48" s="296">
        <f t="shared" si="16"/>
        <v>0</v>
      </c>
      <c r="BH48" s="296">
        <f t="shared" si="17"/>
        <v>0</v>
      </c>
      <c r="BI48" s="359">
        <f t="shared" si="18"/>
        <v>0</v>
      </c>
      <c r="BJ48" s="240"/>
    </row>
    <row r="49" spans="1:62" ht="15.75" thickBot="1" x14ac:dyDescent="0.25">
      <c r="B49" s="41">
        <v>65</v>
      </c>
      <c r="C49" s="41">
        <v>7</v>
      </c>
      <c r="D49" s="202" t="s">
        <v>162</v>
      </c>
      <c r="E49" s="304">
        <f>COUNTIFS('Details-Products'!$C$7:$C$100000,$C49,'Details-Products'!$D$7:$D$100000,$B49,'Details-Products'!$BL$7:$BL$100000,E$10)</f>
        <v>0</v>
      </c>
      <c r="F49" s="305">
        <f>COUNTIFS('Details-Products'!$C$7:$C$100000,$C49,'Details-Products'!$D$7:$D$100000,$B49,'Details-Products'!$BL$7:$BL$100000,F$10,'Details-Products'!$X$7:$X$100000,"YES")</f>
        <v>0</v>
      </c>
      <c r="G49" s="362">
        <f>SUMIFS('Details-Products'!$Z$7:$Z$100000,'Details-Products'!$C$7:$C$100000,$C49,'Details-Products'!$D$7:$D$100000,$B49,'Details-Products'!$BL$7:$BL$100000,G$10,'Details-Products'!$X$7:$X$100000,"YES")</f>
        <v>0</v>
      </c>
      <c r="H49" s="304">
        <f>COUNTIFS('Details-Products'!$C$7:$C$100000,$C49,'Details-Products'!$D$7:$D$100000,$B49,'Details-Products'!$BL$7:$BL$100000,H$10)</f>
        <v>0</v>
      </c>
      <c r="I49" s="305">
        <f>COUNTIFS('Details-Products'!$C$7:$C$100000,$C49,'Details-Products'!$D$7:$D$100000,$B49,'Details-Products'!$BL$7:$BL$100000,I$10,'Details-Products'!$X$7:$X$100000,"YES")</f>
        <v>0</v>
      </c>
      <c r="J49" s="362">
        <f>SUMIFS('Details-Products'!$Z$7:$Z$100000,'Details-Products'!$C$7:$C$100000,$C49,'Details-Products'!$D$7:$D$100000,$B49,'Details-Products'!$BL$7:$BL$100000,J$10,'Details-Products'!$X$7:$X$100000,"YES")</f>
        <v>0</v>
      </c>
      <c r="K49" s="304">
        <f>COUNTIFS('Details-Products'!$C$7:$C$100000,$C49,'Details-Products'!$D$7:$D$100000,$B49,'Details-Products'!$BL$7:$BL$100000,K$10)</f>
        <v>0</v>
      </c>
      <c r="L49" s="305">
        <f>COUNTIFS('Details-Products'!$C$7:$C$100000,$C49,'Details-Products'!$D$7:$D$100000,$B49,'Details-Products'!$BL$7:$BL$100000,L$10,'Details-Products'!$X$7:$X$100000,"YES")</f>
        <v>0</v>
      </c>
      <c r="M49" s="362">
        <f>SUMIFS('Details-Products'!$Z$7:$Z$100000,'Details-Products'!$C$7:$C$100000,$C49,'Details-Products'!$D$7:$D$100000,$B49,'Details-Products'!$BL$7:$BL$100000,M$10,'Details-Products'!$X$7:$X$100000,"YES")</f>
        <v>0</v>
      </c>
      <c r="N49" s="467">
        <f t="shared" si="1"/>
        <v>0</v>
      </c>
      <c r="O49" s="303">
        <f t="shared" si="2"/>
        <v>0</v>
      </c>
      <c r="P49" s="355">
        <f t="shared" si="3"/>
        <v>0</v>
      </c>
      <c r="Q49" s="355">
        <f>VLOOKUP(B49,Ttl_Inv!A:E,4,FALSE)</f>
        <v>0</v>
      </c>
      <c r="R49" s="331" t="e">
        <f t="shared" si="25"/>
        <v>#DIV/0!</v>
      </c>
      <c r="S49" s="362">
        <f>SUMIFS('Additional Color Sizes Report'!$R:$R,'Additional Color Sizes Report'!$B:$B,$B49)</f>
        <v>0</v>
      </c>
      <c r="T49" s="345" t="e">
        <f t="shared" si="26"/>
        <v>#DIV/0!</v>
      </c>
      <c r="U49" s="362">
        <f t="shared" si="6"/>
        <v>0</v>
      </c>
      <c r="V49" s="323" t="e">
        <f t="shared" si="27"/>
        <v>#DIV/0!</v>
      </c>
      <c r="W49" s="304">
        <f t="shared" si="8"/>
        <v>0</v>
      </c>
      <c r="X49" s="305">
        <f t="shared" si="9"/>
        <v>0</v>
      </c>
      <c r="Y49" s="362">
        <f t="shared" si="10"/>
        <v>0</v>
      </c>
      <c r="Z49" s="304">
        <f>COUNTIFS('Details-Products'!$C$7:$C$100000,$C49,'Details-Products'!$D$7:$D$100000,$B49,'Details-Products'!$BL$7:$BL$100000,Z$10)</f>
        <v>0</v>
      </c>
      <c r="AA49" s="304">
        <f>COUNTIFS('Details-Products'!$C$7:$C$100000,$C49,'Details-Products'!$D$7:$D$100000,$B49,'Details-Products'!$BL$7:$BL$100000,AA$10,'Details-Products'!$X$7:$X$100000,"YES")</f>
        <v>0</v>
      </c>
      <c r="AB49" s="362">
        <f>SUMIFS('Details-Products'!$Z$7:$Z$100000,'Details-Products'!$C$7:$C$100000,$C49,'Details-Products'!$D$7:$D$100000,$B49,'Details-Products'!$BL$7:$BL$100000,AB$10,'Details-Products'!$X$7:$X$100000,"YES")</f>
        <v>0</v>
      </c>
      <c r="AC49" s="304">
        <f>COUNTIFS('Details-Products'!$C$7:$C$100000,$C49,'Details-Products'!$D$7:$D$100000,$B49,'Details-Products'!$BL$7:$BL$100000,AC$10)</f>
        <v>0</v>
      </c>
      <c r="AD49" s="305">
        <f>COUNTIFS('Details-Products'!$C$7:$C$100000,$C49,'Details-Products'!$D$7:$D$100000,$B49,'Details-Products'!$BL$7:$BL$100000,AD$10,'Details-Products'!$X$7:$X$100000,"YES")</f>
        <v>0</v>
      </c>
      <c r="AE49" s="362">
        <f>SUMIFS('Details-Products'!$Z$7:$Z$100000,'Details-Products'!$C$7:$C$100000,$C49,'Details-Products'!$D$7:$D$100000,$B49,'Details-Products'!$BL$7:$BL$100000,AE$10,'Details-Products'!$X$7:$X$100000,"YES")</f>
        <v>0</v>
      </c>
      <c r="AF49" s="304">
        <f>COUNTIFS('Details-Products'!$C$7:$C$100000,$C49,'Details-Products'!$D$7:$D$100000,$B49,'Details-Products'!$BL$7:$BL$100000,AF$10)</f>
        <v>0</v>
      </c>
      <c r="AG49" s="305">
        <f>COUNTIFS('Details-Products'!$C$7:$C$100000,$C49,'Details-Products'!$D$7:$D$100000,$B49,'Details-Products'!$BL$7:$BL$100000,AG$10,'Details-Products'!$X$7:$X$100000,"YES")</f>
        <v>0</v>
      </c>
      <c r="AH49" s="362">
        <f>SUMIFS('Details-Products'!$Z$7:$Z$100000,'Details-Products'!$C$7:$C$100000,$C49,'Details-Products'!$D$7:$D$100000,$B49,'Details-Products'!$BL$7:$BL$100000,AH$10,'Details-Products'!$X$7:$X$100000,"YES")</f>
        <v>0</v>
      </c>
      <c r="AI49" s="304">
        <f>COUNTIFS('Details-Products'!$C$7:$C$100000,$C49,'Details-Products'!$D$7:$D$100000,$B49,'Details-Products'!$BL$7:$BL$100000,AI$10)</f>
        <v>0</v>
      </c>
      <c r="AJ49" s="305">
        <f>COUNTIFS('Details-Products'!$C$7:$C$100000,$C49,'Details-Products'!$D$7:$D$100000,$B49,'Details-Products'!$BL$7:$BL$100000,AJ$10,'Details-Products'!$X$7:$X$100000,"YES")</f>
        <v>0</v>
      </c>
      <c r="AK49" s="362">
        <f>SUMIFS('Details-Products'!$Z$7:$Z$100000,'Details-Products'!$C$7:$C$100000,$C49,'Details-Products'!$D$7:$D$100000,$B49,'Details-Products'!$BL$7:$BL$100000,AK$10,'Details-Products'!$X$7:$X$100000,"YES")</f>
        <v>0</v>
      </c>
      <c r="AL49" s="304">
        <f t="shared" si="12"/>
        <v>0</v>
      </c>
      <c r="AM49" s="305">
        <f t="shared" si="13"/>
        <v>0</v>
      </c>
      <c r="AN49" s="362">
        <f t="shared" si="14"/>
        <v>0</v>
      </c>
      <c r="AO49" s="305">
        <f>COUNTIFS('Details-Products'!$C$7:$C$100000,$C49,'Details-Products'!$D$7:$D$100000,$B49,'Details-Products'!$BL$7:$BL$100000,AO$10)</f>
        <v>0</v>
      </c>
      <c r="AP49" s="305">
        <f>COUNTIFS('Details-Products'!$C$7:$C$100000,$C49,'Details-Products'!$D$7:$D$100000,$B49,'Details-Products'!$BL$7:$BL$100000,AP$10,'Details-Products'!$X$7:$X$100000,"YES")</f>
        <v>0</v>
      </c>
      <c r="AQ49" s="362">
        <f>SUMIFS('Details-Products'!$Z$7:$Z$100000,'Details-Products'!$C$7:$C$100000,$C49,'Details-Products'!$D$7:$D$100000,$B49,'Details-Products'!$BL$7:$BL$100000,AQ$10,'Details-Products'!$X$7:$X$100000,"YES")</f>
        <v>0</v>
      </c>
      <c r="AR49" s="305">
        <f>COUNTIFS('Details-Products'!$C$7:$C$100000,$C49,'Details-Products'!$D$7:$D$100000,$B49,'Details-Products'!$BL$7:$BL$100000,AR$10)</f>
        <v>0</v>
      </c>
      <c r="AS49" s="305">
        <f>COUNTIFS('Details-Products'!$C$7:$C$100000,$C49,'Details-Products'!$D$7:$D$100000,$B49,'Details-Products'!$BL$7:$BL$100000,AS$10,'Details-Products'!$X$7:$X$100000,"YES")</f>
        <v>0</v>
      </c>
      <c r="AT49" s="362">
        <f>SUMIFS('Details-Products'!$Z$7:$Z$100000,'Details-Products'!$C$7:$C$100000,$C49,'Details-Products'!$D$7:$D$100000,$B49,'Details-Products'!$BL$7:$BL$100000,AT$10,'Details-Products'!$X$7:$X$100000,"YES")</f>
        <v>0</v>
      </c>
      <c r="AU49" s="305">
        <f>COUNTIFS('Details-Products'!$C$7:$C$100000,$C49,'Details-Products'!$D$7:$D$100000,$B49,'Details-Products'!$BL$7:$BL$100000,AU$10)</f>
        <v>0</v>
      </c>
      <c r="AV49" s="305">
        <f>COUNTIFS('Details-Products'!$C$7:$C$100000,$C49,'Details-Products'!$D$7:$D$100000,$B49,'Details-Products'!$BL$7:$BL$100000,AV$10,'Details-Products'!$X$7:$X$100000,"YES")</f>
        <v>0</v>
      </c>
      <c r="AW49" s="362">
        <f>SUMIFS('Details-Products'!$Z$7:$Z$100000,'Details-Products'!$C$7:$C$100000,$C49,'Details-Products'!$D$7:$D$100000,$B49,'Details-Products'!$BL$7:$BL$100000,AW$10,'Details-Products'!$X$7:$X$100000,"YES")</f>
        <v>0</v>
      </c>
      <c r="AX49" s="304">
        <f>COUNTIFS('Details-Products'!$C$7:$C$100000,$C49,'Details-Products'!$D$7:$D$100000,$B49,'Details-Products'!$BL$7:$BL$100000,AX$10)</f>
        <v>0</v>
      </c>
      <c r="AY49" s="305">
        <f>COUNTIFS('Details-Products'!$C$7:$C$100000,$C49,'Details-Products'!$D$7:$D$100000,$B49,'Details-Products'!$BL$7:$BL$100000,AY$10,'Details-Products'!$X$7:$X$100000,"YES")</f>
        <v>0</v>
      </c>
      <c r="AZ49" s="362">
        <f>SUMIFS('Details-Products'!$Z$7:$Z$100000,'Details-Products'!$C$7:$C$100000,$C49,'Details-Products'!$D$7:$D$100000,$B49,'Details-Products'!$BL$7:$BL$100000,AZ$10,'Details-Products'!$X$7:$X$100000,"YES")</f>
        <v>0</v>
      </c>
      <c r="BA49" s="304">
        <f>COUNTIFS('Details-Products'!$C$7:$C$100000,$C49,'Details-Products'!$D$7:$D$100000,$B49,'Details-Products'!$BL$7:$BL$100000,BA$10)</f>
        <v>0</v>
      </c>
      <c r="BB49" s="305">
        <f>COUNTIFS('Details-Products'!$C$7:$C$100000,$C49,'Details-Products'!$D$7:$D$100000,$B49,'Details-Products'!$BL$7:$BL$100000,BB$10,'Details-Products'!$X$7:$X$100000,"YES")</f>
        <v>0</v>
      </c>
      <c r="BC49" s="362">
        <f>SUMIFS('Details-Products'!$Z$7:$Z$100000,'Details-Products'!$C$7:$C$100000,$C49,'Details-Products'!$D$7:$D$100000,$B49,'Details-Products'!$BL$7:$BL$100000,BC$10,'Details-Products'!$X$7:$X$100000,"YES")</f>
        <v>0</v>
      </c>
      <c r="BD49" s="306">
        <f>COUNTIFS('Details-Products'!$C$7:$C$100000,$C49,'Details-Products'!$D$7:$D$100000,$B49,'Details-Products'!$BL$7:$BL$100000,BD$10)</f>
        <v>0</v>
      </c>
      <c r="BE49" s="305">
        <f>COUNTIFS('Details-Products'!$C$7:$C$100000,$C49,'Details-Products'!$D$7:$D$100000,$B49,'Details-Products'!$BL$7:$BL$100000,BE$10,'Details-Products'!$X$7:$X$100000,"YES")</f>
        <v>0</v>
      </c>
      <c r="BF49" s="362">
        <f>SUMIFS('Details-Products'!$Z$7:$Z$100000,'Details-Products'!$C$7:$C$100000,$C49,'Details-Products'!$D$7:$D$100000,$B49,'Details-Products'!$BL$7:$BL$100000,BF$10,'Details-Products'!$X$7:$X$100000,"YES")</f>
        <v>0</v>
      </c>
      <c r="BG49" s="305">
        <f t="shared" si="16"/>
        <v>0</v>
      </c>
      <c r="BH49" s="305">
        <f t="shared" si="17"/>
        <v>0</v>
      </c>
      <c r="BI49" s="362">
        <f t="shared" si="18"/>
        <v>0</v>
      </c>
      <c r="BJ49" s="240"/>
    </row>
    <row r="50" spans="1:62" ht="16.5" thickBot="1" x14ac:dyDescent="0.25">
      <c r="B50" s="41"/>
      <c r="C50" s="41">
        <v>8</v>
      </c>
      <c r="D50" s="201" t="s">
        <v>163</v>
      </c>
      <c r="E50" s="285">
        <f t="shared" ref="E50:M50" si="34">SUM(E51:E52)</f>
        <v>0</v>
      </c>
      <c r="F50" s="286">
        <f t="shared" si="34"/>
        <v>0</v>
      </c>
      <c r="G50" s="361">
        <f t="shared" si="34"/>
        <v>0</v>
      </c>
      <c r="H50" s="285">
        <f t="shared" si="34"/>
        <v>0</v>
      </c>
      <c r="I50" s="286">
        <f t="shared" si="34"/>
        <v>0</v>
      </c>
      <c r="J50" s="361">
        <f t="shared" si="34"/>
        <v>0</v>
      </c>
      <c r="K50" s="285">
        <f t="shared" si="34"/>
        <v>0</v>
      </c>
      <c r="L50" s="286">
        <f t="shared" si="34"/>
        <v>0</v>
      </c>
      <c r="M50" s="361">
        <f t="shared" si="34"/>
        <v>0</v>
      </c>
      <c r="N50" s="464">
        <f t="shared" si="1"/>
        <v>0</v>
      </c>
      <c r="O50" s="287">
        <f t="shared" si="2"/>
        <v>0</v>
      </c>
      <c r="P50" s="351">
        <f t="shared" si="3"/>
        <v>0</v>
      </c>
      <c r="Q50" s="351">
        <f>SUM(Q51:Q52)</f>
        <v>0</v>
      </c>
      <c r="R50" s="325" t="e">
        <f t="shared" si="25"/>
        <v>#DIV/0!</v>
      </c>
      <c r="S50" s="361">
        <f>SUM(S51:S52)</f>
        <v>0</v>
      </c>
      <c r="T50" s="338" t="e">
        <f t="shared" si="26"/>
        <v>#DIV/0!</v>
      </c>
      <c r="U50" s="361">
        <f t="shared" si="6"/>
        <v>0</v>
      </c>
      <c r="V50" s="319" t="e">
        <f t="shared" si="27"/>
        <v>#DIV/0!</v>
      </c>
      <c r="W50" s="288">
        <f t="shared" si="8"/>
        <v>0</v>
      </c>
      <c r="X50" s="289">
        <f t="shared" si="9"/>
        <v>0</v>
      </c>
      <c r="Y50" s="361">
        <f t="shared" si="10"/>
        <v>0</v>
      </c>
      <c r="Z50" s="288">
        <f t="shared" ref="Z50:AK50" si="35">SUM(Z51:Z52)</f>
        <v>0</v>
      </c>
      <c r="AA50" s="288">
        <f t="shared" si="35"/>
        <v>0</v>
      </c>
      <c r="AB50" s="361">
        <f t="shared" si="35"/>
        <v>0</v>
      </c>
      <c r="AC50" s="288">
        <f t="shared" si="35"/>
        <v>0</v>
      </c>
      <c r="AD50" s="289">
        <f t="shared" si="35"/>
        <v>0</v>
      </c>
      <c r="AE50" s="361">
        <f t="shared" si="35"/>
        <v>0</v>
      </c>
      <c r="AF50" s="288">
        <f t="shared" si="35"/>
        <v>0</v>
      </c>
      <c r="AG50" s="289">
        <f t="shared" si="35"/>
        <v>0</v>
      </c>
      <c r="AH50" s="361">
        <f t="shared" si="35"/>
        <v>0</v>
      </c>
      <c r="AI50" s="288">
        <f t="shared" si="35"/>
        <v>0</v>
      </c>
      <c r="AJ50" s="289">
        <f t="shared" si="35"/>
        <v>0</v>
      </c>
      <c r="AK50" s="361">
        <f t="shared" si="35"/>
        <v>0</v>
      </c>
      <c r="AL50" s="288">
        <f t="shared" si="12"/>
        <v>0</v>
      </c>
      <c r="AM50" s="289">
        <f t="shared" si="13"/>
        <v>0</v>
      </c>
      <c r="AN50" s="361">
        <f t="shared" si="14"/>
        <v>0</v>
      </c>
      <c r="AO50" s="289">
        <f t="shared" ref="AO50:BF50" si="36">SUM(AO51:AO52)</f>
        <v>0</v>
      </c>
      <c r="AP50" s="289">
        <f t="shared" si="36"/>
        <v>0</v>
      </c>
      <c r="AQ50" s="361">
        <f t="shared" si="36"/>
        <v>0</v>
      </c>
      <c r="AR50" s="289">
        <f t="shared" si="36"/>
        <v>0</v>
      </c>
      <c r="AS50" s="289">
        <f t="shared" si="36"/>
        <v>0</v>
      </c>
      <c r="AT50" s="361">
        <f t="shared" si="36"/>
        <v>0</v>
      </c>
      <c r="AU50" s="289">
        <f t="shared" si="36"/>
        <v>0</v>
      </c>
      <c r="AV50" s="289">
        <f t="shared" si="36"/>
        <v>0</v>
      </c>
      <c r="AW50" s="361">
        <f t="shared" si="36"/>
        <v>0</v>
      </c>
      <c r="AX50" s="288">
        <f t="shared" si="36"/>
        <v>0</v>
      </c>
      <c r="AY50" s="289">
        <f t="shared" si="36"/>
        <v>0</v>
      </c>
      <c r="AZ50" s="361">
        <f t="shared" si="36"/>
        <v>0</v>
      </c>
      <c r="BA50" s="288">
        <f t="shared" si="36"/>
        <v>0</v>
      </c>
      <c r="BB50" s="289">
        <f t="shared" si="36"/>
        <v>0</v>
      </c>
      <c r="BC50" s="361">
        <f t="shared" si="36"/>
        <v>0</v>
      </c>
      <c r="BD50" s="290">
        <f t="shared" si="36"/>
        <v>0</v>
      </c>
      <c r="BE50" s="289">
        <f t="shared" si="36"/>
        <v>0</v>
      </c>
      <c r="BF50" s="361">
        <f t="shared" si="36"/>
        <v>0</v>
      </c>
      <c r="BG50" s="289">
        <f t="shared" si="16"/>
        <v>0</v>
      </c>
      <c r="BH50" s="289">
        <f t="shared" si="17"/>
        <v>0</v>
      </c>
      <c r="BI50" s="361">
        <f t="shared" si="18"/>
        <v>0</v>
      </c>
      <c r="BJ50" s="240"/>
    </row>
    <row r="51" spans="1:62" ht="15.75" thickBot="1" x14ac:dyDescent="0.25">
      <c r="A51" s="59" t="s">
        <v>200</v>
      </c>
      <c r="B51" s="41">
        <v>28</v>
      </c>
      <c r="C51" s="41">
        <v>8</v>
      </c>
      <c r="D51" s="200" t="s">
        <v>164</v>
      </c>
      <c r="E51" s="295">
        <f>COUNTIFS('Details-Products'!$C$7:$C$100000,$C51,'Details-Products'!$D$7:$D$100000,$B51,'Details-Products'!$BL$7:$BL$100000,E$10)</f>
        <v>0</v>
      </c>
      <c r="F51" s="296">
        <f>COUNTIFS('Details-Products'!$C$7:$C$100000,$C51,'Details-Products'!$D$7:$D$100000,$B51,'Details-Products'!$BL$7:$BL$100000,F$10,'Details-Products'!$X$7:$X$100000,"YES")</f>
        <v>0</v>
      </c>
      <c r="G51" s="359">
        <f>SUMIFS('Details-Products'!$Z$7:$Z$100000,'Details-Products'!$C$7:$C$100000,$C51,'Details-Products'!$D$7:$D$100000,$B51,'Details-Products'!$BL$7:$BL$100000,G$10,'Details-Products'!$X$7:$X$100000,"YES")</f>
        <v>0</v>
      </c>
      <c r="H51" s="295">
        <f>COUNTIFS('Details-Products'!$C$7:$C$100000,$C51,'Details-Products'!$D$7:$D$100000,$B51,'Details-Products'!$BL$7:$BL$100000,H$10)</f>
        <v>0</v>
      </c>
      <c r="I51" s="296">
        <f>COUNTIFS('Details-Products'!$C$7:$C$100000,$C51,'Details-Products'!$D$7:$D$100000,$B51,'Details-Products'!$BL$7:$BL$100000,I$10,'Details-Products'!$X$7:$X$100000,"YES")</f>
        <v>0</v>
      </c>
      <c r="J51" s="359">
        <f>SUMIFS('Details-Products'!$Z$7:$Z$100000,'Details-Products'!$C$7:$C$100000,$C51,'Details-Products'!$D$7:$D$100000,$B51,'Details-Products'!$BL$7:$BL$100000,J$10,'Details-Products'!$X$7:$X$100000,"YES")</f>
        <v>0</v>
      </c>
      <c r="K51" s="295">
        <f>COUNTIFS('Details-Products'!$C$7:$C$100000,$C51,'Details-Products'!$D$7:$D$100000,$B51,'Details-Products'!$BL$7:$BL$100000,K$10)</f>
        <v>0</v>
      </c>
      <c r="L51" s="296">
        <f>COUNTIFS('Details-Products'!$C$7:$C$100000,$C51,'Details-Products'!$D$7:$D$100000,$B51,'Details-Products'!$BL$7:$BL$100000,L$10,'Details-Products'!$X$7:$X$100000,"YES")</f>
        <v>0</v>
      </c>
      <c r="M51" s="359">
        <f>SUMIFS('Details-Products'!$Z$7:$Z$100000,'Details-Products'!$C$7:$C$100000,$C51,'Details-Products'!$D$7:$D$100000,$B51,'Details-Products'!$BL$7:$BL$100000,M$10,'Details-Products'!$X$7:$X$100000,"YES")</f>
        <v>0</v>
      </c>
      <c r="N51" s="466">
        <f t="shared" si="1"/>
        <v>0</v>
      </c>
      <c r="O51" s="302">
        <f t="shared" si="2"/>
        <v>0</v>
      </c>
      <c r="P51" s="354">
        <f t="shared" si="3"/>
        <v>0</v>
      </c>
      <c r="Q51" s="354">
        <f>VLOOKUP(B51,Ttl_Inv!A:E,4,FALSE)</f>
        <v>0</v>
      </c>
      <c r="R51" s="330" t="e">
        <f t="shared" si="25"/>
        <v>#DIV/0!</v>
      </c>
      <c r="S51" s="359">
        <f>SUMIFS('Additional Color Sizes Report'!$R:$R,'Additional Color Sizes Report'!$B:$B,$B51)</f>
        <v>0</v>
      </c>
      <c r="T51" s="343" t="e">
        <f t="shared" si="26"/>
        <v>#DIV/0!</v>
      </c>
      <c r="U51" s="359">
        <f t="shared" si="6"/>
        <v>0</v>
      </c>
      <c r="V51" s="321" t="e">
        <f t="shared" si="27"/>
        <v>#DIV/0!</v>
      </c>
      <c r="W51" s="295">
        <f t="shared" si="8"/>
        <v>0</v>
      </c>
      <c r="X51" s="296">
        <f t="shared" si="9"/>
        <v>0</v>
      </c>
      <c r="Y51" s="359">
        <f t="shared" si="10"/>
        <v>0</v>
      </c>
      <c r="Z51" s="295">
        <f>COUNTIFS('Details-Products'!$C$7:$C$100000,$C51,'Details-Products'!$D$7:$D$100000,$B51,'Details-Products'!$BL$7:$BL$100000,Z$10)</f>
        <v>0</v>
      </c>
      <c r="AA51" s="295">
        <f>COUNTIFS('Details-Products'!$C$7:$C$100000,$C51,'Details-Products'!$D$7:$D$100000,$B51,'Details-Products'!$BL$7:$BL$100000,AA$10,'Details-Products'!$X$7:$X$100000,"YES")</f>
        <v>0</v>
      </c>
      <c r="AB51" s="359">
        <f>SUMIFS('Details-Products'!$Z$7:$Z$100000,'Details-Products'!$C$7:$C$100000,$C51,'Details-Products'!$D$7:$D$100000,$B51,'Details-Products'!$BL$7:$BL$100000,AB$10,'Details-Products'!$X$7:$X$100000,"YES")</f>
        <v>0</v>
      </c>
      <c r="AC51" s="295">
        <f>COUNTIFS('Details-Products'!$C$7:$C$100000,$C51,'Details-Products'!$D$7:$D$100000,$B51,'Details-Products'!$BL$7:$BL$100000,AC$10)</f>
        <v>0</v>
      </c>
      <c r="AD51" s="296">
        <f>COUNTIFS('Details-Products'!$C$7:$C$100000,$C51,'Details-Products'!$D$7:$D$100000,$B51,'Details-Products'!$BL$7:$BL$100000,AD$10,'Details-Products'!$X$7:$X$100000,"YES")</f>
        <v>0</v>
      </c>
      <c r="AE51" s="359">
        <f>SUMIFS('Details-Products'!$Z$7:$Z$100000,'Details-Products'!$C$7:$C$100000,$C51,'Details-Products'!$D$7:$D$100000,$B51,'Details-Products'!$BL$7:$BL$100000,AE$10,'Details-Products'!$X$7:$X$100000,"YES")</f>
        <v>0</v>
      </c>
      <c r="AF51" s="295">
        <f>COUNTIFS('Details-Products'!$C$7:$C$100000,$C51,'Details-Products'!$D$7:$D$100000,$B51,'Details-Products'!$BL$7:$BL$100000,AF$10)</f>
        <v>0</v>
      </c>
      <c r="AG51" s="296">
        <f>COUNTIFS('Details-Products'!$C$7:$C$100000,$C51,'Details-Products'!$D$7:$D$100000,$B51,'Details-Products'!$BL$7:$BL$100000,AG$10,'Details-Products'!$X$7:$X$100000,"YES")</f>
        <v>0</v>
      </c>
      <c r="AH51" s="359">
        <f>SUMIFS('Details-Products'!$Z$7:$Z$100000,'Details-Products'!$C$7:$C$100000,$C51,'Details-Products'!$D$7:$D$100000,$B51,'Details-Products'!$BL$7:$BL$100000,AH$10,'Details-Products'!$X$7:$X$100000,"YES")</f>
        <v>0</v>
      </c>
      <c r="AI51" s="295">
        <f>COUNTIFS('Details-Products'!$C$7:$C$100000,$C51,'Details-Products'!$D$7:$D$100000,$B51,'Details-Products'!$BL$7:$BL$100000,AI$10)</f>
        <v>0</v>
      </c>
      <c r="AJ51" s="296">
        <f>COUNTIFS('Details-Products'!$C$7:$C$100000,$C51,'Details-Products'!$D$7:$D$100000,$B51,'Details-Products'!$BL$7:$BL$100000,AJ$10,'Details-Products'!$X$7:$X$100000,"YES")</f>
        <v>0</v>
      </c>
      <c r="AK51" s="359">
        <f>SUMIFS('Details-Products'!$Z$7:$Z$100000,'Details-Products'!$C$7:$C$100000,$C51,'Details-Products'!$D$7:$D$100000,$B51,'Details-Products'!$BL$7:$BL$100000,AK$10,'Details-Products'!$X$7:$X$100000,"YES")</f>
        <v>0</v>
      </c>
      <c r="AL51" s="295">
        <f t="shared" si="12"/>
        <v>0</v>
      </c>
      <c r="AM51" s="296">
        <f t="shared" si="13"/>
        <v>0</v>
      </c>
      <c r="AN51" s="359">
        <f t="shared" si="14"/>
        <v>0</v>
      </c>
      <c r="AO51" s="296">
        <f>COUNTIFS('Details-Products'!$C$7:$C$100000,$C51,'Details-Products'!$D$7:$D$100000,$B51,'Details-Products'!$BL$7:$BL$100000,AO$10)</f>
        <v>0</v>
      </c>
      <c r="AP51" s="296">
        <f>COUNTIFS('Details-Products'!$C$7:$C$100000,$C51,'Details-Products'!$D$7:$D$100000,$B51,'Details-Products'!$BL$7:$BL$100000,AP$10,'Details-Products'!$X$7:$X$100000,"YES")</f>
        <v>0</v>
      </c>
      <c r="AQ51" s="359">
        <f>SUMIFS('Details-Products'!$Z$7:$Z$100000,'Details-Products'!$C$7:$C$100000,$C51,'Details-Products'!$D$7:$D$100000,$B51,'Details-Products'!$BL$7:$BL$100000,AQ$10,'Details-Products'!$X$7:$X$100000,"YES")</f>
        <v>0</v>
      </c>
      <c r="AR51" s="296">
        <f>COUNTIFS('Details-Products'!$C$7:$C$100000,$C51,'Details-Products'!$D$7:$D$100000,$B51,'Details-Products'!$BL$7:$BL$100000,AR$10)</f>
        <v>0</v>
      </c>
      <c r="AS51" s="296">
        <f>COUNTIFS('Details-Products'!$C$7:$C$100000,$C51,'Details-Products'!$D$7:$D$100000,$B51,'Details-Products'!$BL$7:$BL$100000,AS$10,'Details-Products'!$X$7:$X$100000,"YES")</f>
        <v>0</v>
      </c>
      <c r="AT51" s="359">
        <f>SUMIFS('Details-Products'!$Z$7:$Z$100000,'Details-Products'!$C$7:$C$100000,$C51,'Details-Products'!$D$7:$D$100000,$B51,'Details-Products'!$BL$7:$BL$100000,AT$10,'Details-Products'!$X$7:$X$100000,"YES")</f>
        <v>0</v>
      </c>
      <c r="AU51" s="296">
        <f>COUNTIFS('Details-Products'!$C$7:$C$100000,$C51,'Details-Products'!$D$7:$D$100000,$B51,'Details-Products'!$BL$7:$BL$100000,AU$10)</f>
        <v>0</v>
      </c>
      <c r="AV51" s="296">
        <f>COUNTIFS('Details-Products'!$C$7:$C$100000,$C51,'Details-Products'!$D$7:$D$100000,$B51,'Details-Products'!$BL$7:$BL$100000,AV$10,'Details-Products'!$X$7:$X$100000,"YES")</f>
        <v>0</v>
      </c>
      <c r="AW51" s="359">
        <f>SUMIFS('Details-Products'!$Z$7:$Z$100000,'Details-Products'!$C$7:$C$100000,$C51,'Details-Products'!$D$7:$D$100000,$B51,'Details-Products'!$BL$7:$BL$100000,AW$10,'Details-Products'!$X$7:$X$100000,"YES")</f>
        <v>0</v>
      </c>
      <c r="AX51" s="295">
        <f>COUNTIFS('Details-Products'!$C$7:$C$100000,$C51,'Details-Products'!$D$7:$D$100000,$B51,'Details-Products'!$BL$7:$BL$100000,AX$10)</f>
        <v>0</v>
      </c>
      <c r="AY51" s="296">
        <f>COUNTIFS('Details-Products'!$C$7:$C$100000,$C51,'Details-Products'!$D$7:$D$100000,$B51,'Details-Products'!$BL$7:$BL$100000,AY$10,'Details-Products'!$X$7:$X$100000,"YES")</f>
        <v>0</v>
      </c>
      <c r="AZ51" s="359">
        <f>SUMIFS('Details-Products'!$Z$7:$Z$100000,'Details-Products'!$C$7:$C$100000,$C51,'Details-Products'!$D$7:$D$100000,$B51,'Details-Products'!$BL$7:$BL$100000,AZ$10,'Details-Products'!$X$7:$X$100000,"YES")</f>
        <v>0</v>
      </c>
      <c r="BA51" s="295">
        <f>COUNTIFS('Details-Products'!$C$7:$C$100000,$C51,'Details-Products'!$D$7:$D$100000,$B51,'Details-Products'!$BL$7:$BL$100000,BA$10)</f>
        <v>0</v>
      </c>
      <c r="BB51" s="296">
        <f>COUNTIFS('Details-Products'!$C$7:$C$100000,$C51,'Details-Products'!$D$7:$D$100000,$B51,'Details-Products'!$BL$7:$BL$100000,BB$10,'Details-Products'!$X$7:$X$100000,"YES")</f>
        <v>0</v>
      </c>
      <c r="BC51" s="359">
        <f>SUMIFS('Details-Products'!$Z$7:$Z$100000,'Details-Products'!$C$7:$C$100000,$C51,'Details-Products'!$D$7:$D$100000,$B51,'Details-Products'!$BL$7:$BL$100000,BC$10,'Details-Products'!$X$7:$X$100000,"YES")</f>
        <v>0</v>
      </c>
      <c r="BD51" s="298">
        <f>COUNTIFS('Details-Products'!$C$7:$C$100000,$C51,'Details-Products'!$D$7:$D$100000,$B51,'Details-Products'!$BL$7:$BL$100000,BD$10)</f>
        <v>0</v>
      </c>
      <c r="BE51" s="296">
        <f>COUNTIFS('Details-Products'!$C$7:$C$100000,$C51,'Details-Products'!$D$7:$D$100000,$B51,'Details-Products'!$BL$7:$BL$100000,BE$10,'Details-Products'!$X$7:$X$100000,"YES")</f>
        <v>0</v>
      </c>
      <c r="BF51" s="359">
        <f>SUMIFS('Details-Products'!$Z$7:$Z$100000,'Details-Products'!$C$7:$C$100000,$C51,'Details-Products'!$D$7:$D$100000,$B51,'Details-Products'!$BL$7:$BL$100000,BF$10,'Details-Products'!$X$7:$X$100000,"YES")</f>
        <v>0</v>
      </c>
      <c r="BG51" s="296">
        <f t="shared" si="16"/>
        <v>0</v>
      </c>
      <c r="BH51" s="296">
        <f t="shared" si="17"/>
        <v>0</v>
      </c>
      <c r="BI51" s="359">
        <f t="shared" si="18"/>
        <v>0</v>
      </c>
      <c r="BJ51" s="240"/>
    </row>
    <row r="52" spans="1:62" ht="15.75" thickBot="1" x14ac:dyDescent="0.25">
      <c r="B52" s="41">
        <v>29</v>
      </c>
      <c r="C52" s="41">
        <v>8</v>
      </c>
      <c r="D52" s="199" t="s">
        <v>165</v>
      </c>
      <c r="E52" s="291">
        <f>COUNTIFS('Details-Products'!$C$7:$C$100000,$C52,'Details-Products'!$D$7:$D$100000,$B52,'Details-Products'!$BL$7:$BL$100000,E$10)</f>
        <v>0</v>
      </c>
      <c r="F52" s="292">
        <f>COUNTIFS('Details-Products'!$C$7:$C$100000,$C52,'Details-Products'!$D$7:$D$100000,$B52,'Details-Products'!$BL$7:$BL$100000,F$10,'Details-Products'!$X$7:$X$100000,"YES")</f>
        <v>0</v>
      </c>
      <c r="G52" s="360">
        <f>SUMIFS('Details-Products'!$Z$7:$Z$100000,'Details-Products'!$C$7:$C$100000,$C52,'Details-Products'!$D$7:$D$100000,$B52,'Details-Products'!$BL$7:$BL$100000,G$10,'Details-Products'!$X$7:$X$100000,"YES")</f>
        <v>0</v>
      </c>
      <c r="H52" s="291">
        <f>COUNTIFS('Details-Products'!$C$7:$C$100000,$C52,'Details-Products'!$D$7:$D$100000,$B52,'Details-Products'!$BL$7:$BL$100000,H$10)</f>
        <v>0</v>
      </c>
      <c r="I52" s="292">
        <f>COUNTIFS('Details-Products'!$C$7:$C$100000,$C52,'Details-Products'!$D$7:$D$100000,$B52,'Details-Products'!$BL$7:$BL$100000,I$10,'Details-Products'!$X$7:$X$100000,"YES")</f>
        <v>0</v>
      </c>
      <c r="J52" s="360">
        <f>SUMIFS('Details-Products'!$Z$7:$Z$100000,'Details-Products'!$C$7:$C$100000,$C52,'Details-Products'!$D$7:$D$100000,$B52,'Details-Products'!$BL$7:$BL$100000,J$10,'Details-Products'!$X$7:$X$100000,"YES")</f>
        <v>0</v>
      </c>
      <c r="K52" s="291">
        <f>COUNTIFS('Details-Products'!$C$7:$C$100000,$C52,'Details-Products'!$D$7:$D$100000,$B52,'Details-Products'!$BL$7:$BL$100000,K$10)</f>
        <v>0</v>
      </c>
      <c r="L52" s="292">
        <f>COUNTIFS('Details-Products'!$C$7:$C$100000,$C52,'Details-Products'!$D$7:$D$100000,$B52,'Details-Products'!$BL$7:$BL$100000,L$10,'Details-Products'!$X$7:$X$100000,"YES")</f>
        <v>0</v>
      </c>
      <c r="M52" s="360">
        <f>SUMIFS('Details-Products'!$Z$7:$Z$100000,'Details-Products'!$C$7:$C$100000,$C52,'Details-Products'!$D$7:$D$100000,$B52,'Details-Products'!$BL$7:$BL$100000,M$10,'Details-Products'!$X$7:$X$100000,"YES")</f>
        <v>0</v>
      </c>
      <c r="N52" s="467">
        <f t="shared" si="1"/>
        <v>0</v>
      </c>
      <c r="O52" s="303">
        <f t="shared" si="2"/>
        <v>0</v>
      </c>
      <c r="P52" s="355">
        <f t="shared" si="3"/>
        <v>0</v>
      </c>
      <c r="Q52" s="355">
        <f>VLOOKUP(B52,Ttl_Inv!A:E,4,FALSE)</f>
        <v>0</v>
      </c>
      <c r="R52" s="331" t="e">
        <f t="shared" si="25"/>
        <v>#DIV/0!</v>
      </c>
      <c r="S52" s="360">
        <f>SUMIFS('Additional Color Sizes Report'!$R:$R,'Additional Color Sizes Report'!$B:$B,$B52)</f>
        <v>0</v>
      </c>
      <c r="T52" s="344" t="e">
        <f t="shared" si="26"/>
        <v>#DIV/0!</v>
      </c>
      <c r="U52" s="360">
        <f t="shared" si="6"/>
        <v>0</v>
      </c>
      <c r="V52" s="322" t="e">
        <f t="shared" si="27"/>
        <v>#DIV/0!</v>
      </c>
      <c r="W52" s="291">
        <f t="shared" si="8"/>
        <v>0</v>
      </c>
      <c r="X52" s="292">
        <f t="shared" si="9"/>
        <v>0</v>
      </c>
      <c r="Y52" s="360">
        <f t="shared" si="10"/>
        <v>0</v>
      </c>
      <c r="Z52" s="291">
        <f>COUNTIFS('Details-Products'!$C$7:$C$100000,$C52,'Details-Products'!$D$7:$D$100000,$B52,'Details-Products'!$BL$7:$BL$100000,Z$10)</f>
        <v>0</v>
      </c>
      <c r="AA52" s="291">
        <f>COUNTIFS('Details-Products'!$C$7:$C$100000,$C52,'Details-Products'!$D$7:$D$100000,$B52,'Details-Products'!$BL$7:$BL$100000,AA$10,'Details-Products'!$X$7:$X$100000,"YES")</f>
        <v>0</v>
      </c>
      <c r="AB52" s="360">
        <f>SUMIFS('Details-Products'!$Z$7:$Z$100000,'Details-Products'!$C$7:$C$100000,$C52,'Details-Products'!$D$7:$D$100000,$B52,'Details-Products'!$BL$7:$BL$100000,AB$10,'Details-Products'!$X$7:$X$100000,"YES")</f>
        <v>0</v>
      </c>
      <c r="AC52" s="291">
        <f>COUNTIFS('Details-Products'!$C$7:$C$100000,$C52,'Details-Products'!$D$7:$D$100000,$B52,'Details-Products'!$BL$7:$BL$100000,AC$10)</f>
        <v>0</v>
      </c>
      <c r="AD52" s="292">
        <f>COUNTIFS('Details-Products'!$C$7:$C$100000,$C52,'Details-Products'!$D$7:$D$100000,$B52,'Details-Products'!$BL$7:$BL$100000,AD$10,'Details-Products'!$X$7:$X$100000,"YES")</f>
        <v>0</v>
      </c>
      <c r="AE52" s="360">
        <f>SUMIFS('Details-Products'!$Z$7:$Z$100000,'Details-Products'!$C$7:$C$100000,$C52,'Details-Products'!$D$7:$D$100000,$B52,'Details-Products'!$BL$7:$BL$100000,AE$10,'Details-Products'!$X$7:$X$100000,"YES")</f>
        <v>0</v>
      </c>
      <c r="AF52" s="291">
        <f>COUNTIFS('Details-Products'!$C$7:$C$100000,$C52,'Details-Products'!$D$7:$D$100000,$B52,'Details-Products'!$BL$7:$BL$100000,AF$10)</f>
        <v>0</v>
      </c>
      <c r="AG52" s="292">
        <f>COUNTIFS('Details-Products'!$C$7:$C$100000,$C52,'Details-Products'!$D$7:$D$100000,$B52,'Details-Products'!$BL$7:$BL$100000,AG$10,'Details-Products'!$X$7:$X$100000,"YES")</f>
        <v>0</v>
      </c>
      <c r="AH52" s="360">
        <f>SUMIFS('Details-Products'!$Z$7:$Z$100000,'Details-Products'!$C$7:$C$100000,$C52,'Details-Products'!$D$7:$D$100000,$B52,'Details-Products'!$BL$7:$BL$100000,AH$10,'Details-Products'!$X$7:$X$100000,"YES")</f>
        <v>0</v>
      </c>
      <c r="AI52" s="291">
        <f>COUNTIFS('Details-Products'!$C$7:$C$100000,$C52,'Details-Products'!$D$7:$D$100000,$B52,'Details-Products'!$BL$7:$BL$100000,AI$10)</f>
        <v>0</v>
      </c>
      <c r="AJ52" s="292">
        <f>COUNTIFS('Details-Products'!$C$7:$C$100000,$C52,'Details-Products'!$D$7:$D$100000,$B52,'Details-Products'!$BL$7:$BL$100000,AJ$10,'Details-Products'!$X$7:$X$100000,"YES")</f>
        <v>0</v>
      </c>
      <c r="AK52" s="360">
        <f>SUMIFS('Details-Products'!$Z$7:$Z$100000,'Details-Products'!$C$7:$C$100000,$C52,'Details-Products'!$D$7:$D$100000,$B52,'Details-Products'!$BL$7:$BL$100000,AK$10,'Details-Products'!$X$7:$X$100000,"YES")</f>
        <v>0</v>
      </c>
      <c r="AL52" s="291">
        <f t="shared" si="12"/>
        <v>0</v>
      </c>
      <c r="AM52" s="292">
        <f t="shared" si="13"/>
        <v>0</v>
      </c>
      <c r="AN52" s="360">
        <f t="shared" si="14"/>
        <v>0</v>
      </c>
      <c r="AO52" s="292">
        <f>COUNTIFS('Details-Products'!$C$7:$C$100000,$C52,'Details-Products'!$D$7:$D$100000,$B52,'Details-Products'!$BL$7:$BL$100000,AO$10)</f>
        <v>0</v>
      </c>
      <c r="AP52" s="292">
        <f>COUNTIFS('Details-Products'!$C$7:$C$100000,$C52,'Details-Products'!$D$7:$D$100000,$B52,'Details-Products'!$BL$7:$BL$100000,AP$10,'Details-Products'!$X$7:$X$100000,"YES")</f>
        <v>0</v>
      </c>
      <c r="AQ52" s="360">
        <f>SUMIFS('Details-Products'!$Z$7:$Z$100000,'Details-Products'!$C$7:$C$100000,$C52,'Details-Products'!$D$7:$D$100000,$B52,'Details-Products'!$BL$7:$BL$100000,AQ$10,'Details-Products'!$X$7:$X$100000,"YES")</f>
        <v>0</v>
      </c>
      <c r="AR52" s="292">
        <f>COUNTIFS('Details-Products'!$C$7:$C$100000,$C52,'Details-Products'!$D$7:$D$100000,$B52,'Details-Products'!$BL$7:$BL$100000,AR$10)</f>
        <v>0</v>
      </c>
      <c r="AS52" s="292">
        <f>COUNTIFS('Details-Products'!$C$7:$C$100000,$C52,'Details-Products'!$D$7:$D$100000,$B52,'Details-Products'!$BL$7:$BL$100000,AS$10,'Details-Products'!$X$7:$X$100000,"YES")</f>
        <v>0</v>
      </c>
      <c r="AT52" s="360">
        <f>SUMIFS('Details-Products'!$Z$7:$Z$100000,'Details-Products'!$C$7:$C$100000,$C52,'Details-Products'!$D$7:$D$100000,$B52,'Details-Products'!$BL$7:$BL$100000,AT$10,'Details-Products'!$X$7:$X$100000,"YES")</f>
        <v>0</v>
      </c>
      <c r="AU52" s="292">
        <f>COUNTIFS('Details-Products'!$C$7:$C$100000,$C52,'Details-Products'!$D$7:$D$100000,$B52,'Details-Products'!$BL$7:$BL$100000,AU$10)</f>
        <v>0</v>
      </c>
      <c r="AV52" s="292">
        <f>COUNTIFS('Details-Products'!$C$7:$C$100000,$C52,'Details-Products'!$D$7:$D$100000,$B52,'Details-Products'!$BL$7:$BL$100000,AV$10,'Details-Products'!$X$7:$X$100000,"YES")</f>
        <v>0</v>
      </c>
      <c r="AW52" s="360">
        <f>SUMIFS('Details-Products'!$Z$7:$Z$100000,'Details-Products'!$C$7:$C$100000,$C52,'Details-Products'!$D$7:$D$100000,$B52,'Details-Products'!$BL$7:$BL$100000,AW$10,'Details-Products'!$X$7:$X$100000,"YES")</f>
        <v>0</v>
      </c>
      <c r="AX52" s="291">
        <f>COUNTIFS('Details-Products'!$C$7:$C$100000,$C52,'Details-Products'!$D$7:$D$100000,$B52,'Details-Products'!$BL$7:$BL$100000,AX$10)</f>
        <v>0</v>
      </c>
      <c r="AY52" s="292">
        <f>COUNTIFS('Details-Products'!$C$7:$C$100000,$C52,'Details-Products'!$D$7:$D$100000,$B52,'Details-Products'!$BL$7:$BL$100000,AY$10,'Details-Products'!$X$7:$X$100000,"YES")</f>
        <v>0</v>
      </c>
      <c r="AZ52" s="360">
        <f>SUMIFS('Details-Products'!$Z$7:$Z$100000,'Details-Products'!$C$7:$C$100000,$C52,'Details-Products'!$D$7:$D$100000,$B52,'Details-Products'!$BL$7:$BL$100000,AZ$10,'Details-Products'!$X$7:$X$100000,"YES")</f>
        <v>0</v>
      </c>
      <c r="BA52" s="291">
        <f>COUNTIFS('Details-Products'!$C$7:$C$100000,$C52,'Details-Products'!$D$7:$D$100000,$B52,'Details-Products'!$BL$7:$BL$100000,BA$10)</f>
        <v>0</v>
      </c>
      <c r="BB52" s="292">
        <f>COUNTIFS('Details-Products'!$C$7:$C$100000,$C52,'Details-Products'!$D$7:$D$100000,$B52,'Details-Products'!$BL$7:$BL$100000,BB$10,'Details-Products'!$X$7:$X$100000,"YES")</f>
        <v>0</v>
      </c>
      <c r="BC52" s="360">
        <f>SUMIFS('Details-Products'!$Z$7:$Z$100000,'Details-Products'!$C$7:$C$100000,$C52,'Details-Products'!$D$7:$D$100000,$B52,'Details-Products'!$BL$7:$BL$100000,BC$10,'Details-Products'!$X$7:$X$100000,"YES")</f>
        <v>0</v>
      </c>
      <c r="BD52" s="294">
        <f>COUNTIFS('Details-Products'!$C$7:$C$100000,$C52,'Details-Products'!$D$7:$D$100000,$B52,'Details-Products'!$BL$7:$BL$100000,BD$10)</f>
        <v>0</v>
      </c>
      <c r="BE52" s="292">
        <f>COUNTIFS('Details-Products'!$C$7:$C$100000,$C52,'Details-Products'!$D$7:$D$100000,$B52,'Details-Products'!$BL$7:$BL$100000,BE$10,'Details-Products'!$X$7:$X$100000,"YES")</f>
        <v>0</v>
      </c>
      <c r="BF52" s="360">
        <f>SUMIFS('Details-Products'!$Z$7:$Z$100000,'Details-Products'!$C$7:$C$100000,$C52,'Details-Products'!$D$7:$D$100000,$B52,'Details-Products'!$BL$7:$BL$100000,BF$10,'Details-Products'!$X$7:$X$100000,"YES")</f>
        <v>0</v>
      </c>
      <c r="BG52" s="292">
        <f t="shared" si="16"/>
        <v>0</v>
      </c>
      <c r="BH52" s="292">
        <f t="shared" si="17"/>
        <v>0</v>
      </c>
      <c r="BI52" s="360">
        <f t="shared" si="18"/>
        <v>0</v>
      </c>
      <c r="BJ52" s="240"/>
    </row>
    <row r="53" spans="1:62" ht="16.5" thickBot="1" x14ac:dyDescent="0.25">
      <c r="D53" s="203" t="s">
        <v>12</v>
      </c>
      <c r="E53" s="307">
        <f t="shared" ref="E53:M53" si="37">+E50+E46+E39+E30+E21+E14</f>
        <v>0</v>
      </c>
      <c r="F53" s="308">
        <f t="shared" si="37"/>
        <v>0</v>
      </c>
      <c r="G53" s="363">
        <f t="shared" si="37"/>
        <v>0</v>
      </c>
      <c r="H53" s="307">
        <f t="shared" si="37"/>
        <v>0</v>
      </c>
      <c r="I53" s="308">
        <f t="shared" si="37"/>
        <v>0</v>
      </c>
      <c r="J53" s="363">
        <f t="shared" si="37"/>
        <v>0</v>
      </c>
      <c r="K53" s="307">
        <f t="shared" si="37"/>
        <v>0</v>
      </c>
      <c r="L53" s="308">
        <f t="shared" si="37"/>
        <v>0</v>
      </c>
      <c r="M53" s="363">
        <f t="shared" si="37"/>
        <v>0</v>
      </c>
      <c r="N53" s="468">
        <f t="shared" si="1"/>
        <v>0</v>
      </c>
      <c r="O53" s="309">
        <f t="shared" si="2"/>
        <v>0</v>
      </c>
      <c r="P53" s="356">
        <f t="shared" si="3"/>
        <v>0</v>
      </c>
      <c r="Q53" s="356">
        <f>+Q50+Q46+Q39+Q30+Q21+Q14</f>
        <v>0</v>
      </c>
      <c r="R53" s="332" t="e">
        <f t="shared" si="25"/>
        <v>#DIV/0!</v>
      </c>
      <c r="S53" s="363">
        <f>SUM(S50,S46,S39,S30,S21,S14)</f>
        <v>0</v>
      </c>
      <c r="T53" s="346" t="e">
        <f t="shared" si="26"/>
        <v>#DIV/0!</v>
      </c>
      <c r="U53" s="363">
        <f t="shared" si="6"/>
        <v>0</v>
      </c>
      <c r="V53" s="324" t="e">
        <f t="shared" si="27"/>
        <v>#DIV/0!</v>
      </c>
      <c r="W53" s="310">
        <f t="shared" si="8"/>
        <v>0</v>
      </c>
      <c r="X53" s="311">
        <f t="shared" si="9"/>
        <v>0</v>
      </c>
      <c r="Y53" s="363">
        <f t="shared" si="10"/>
        <v>0</v>
      </c>
      <c r="Z53" s="310">
        <f t="shared" ref="Z53:AK53" si="38">+Z50+Z46+Z39+Z30+Z21+Z14</f>
        <v>0</v>
      </c>
      <c r="AA53" s="310">
        <f t="shared" si="38"/>
        <v>0</v>
      </c>
      <c r="AB53" s="363">
        <f t="shared" si="38"/>
        <v>0</v>
      </c>
      <c r="AC53" s="188">
        <f t="shared" si="38"/>
        <v>0</v>
      </c>
      <c r="AD53" s="189">
        <f t="shared" si="38"/>
        <v>0</v>
      </c>
      <c r="AE53" s="363">
        <f t="shared" si="38"/>
        <v>0</v>
      </c>
      <c r="AF53" s="188">
        <f t="shared" si="38"/>
        <v>0</v>
      </c>
      <c r="AG53" s="189">
        <f t="shared" si="38"/>
        <v>0</v>
      </c>
      <c r="AH53" s="363">
        <f t="shared" si="38"/>
        <v>0</v>
      </c>
      <c r="AI53" s="188">
        <f t="shared" si="38"/>
        <v>0</v>
      </c>
      <c r="AJ53" s="189">
        <f t="shared" si="38"/>
        <v>0</v>
      </c>
      <c r="AK53" s="363">
        <f t="shared" si="38"/>
        <v>0</v>
      </c>
      <c r="AL53" s="310">
        <f>AC53+AF53+AI53</f>
        <v>0</v>
      </c>
      <c r="AM53" s="311">
        <f>AD53+AG53+AJ53</f>
        <v>0</v>
      </c>
      <c r="AN53" s="363">
        <f t="shared" ref="AN53:BF53" si="39">+AN50+AN46+AN39+AN30+AN21+AN14</f>
        <v>0</v>
      </c>
      <c r="AO53" s="311">
        <f t="shared" si="39"/>
        <v>0</v>
      </c>
      <c r="AP53" s="311">
        <f t="shared" si="39"/>
        <v>0</v>
      </c>
      <c r="AQ53" s="363">
        <f t="shared" si="39"/>
        <v>0</v>
      </c>
      <c r="AR53" s="311">
        <f t="shared" si="39"/>
        <v>0</v>
      </c>
      <c r="AS53" s="311">
        <f t="shared" si="39"/>
        <v>0</v>
      </c>
      <c r="AT53" s="363">
        <f t="shared" si="39"/>
        <v>0</v>
      </c>
      <c r="AU53" s="311">
        <f t="shared" si="39"/>
        <v>0</v>
      </c>
      <c r="AV53" s="311">
        <f t="shared" si="39"/>
        <v>0</v>
      </c>
      <c r="AW53" s="363">
        <f t="shared" si="39"/>
        <v>0</v>
      </c>
      <c r="AX53" s="188">
        <f t="shared" si="39"/>
        <v>0</v>
      </c>
      <c r="AY53" s="189">
        <f t="shared" si="39"/>
        <v>0</v>
      </c>
      <c r="AZ53" s="363">
        <f t="shared" si="39"/>
        <v>0</v>
      </c>
      <c r="BA53" s="188">
        <f t="shared" si="39"/>
        <v>0</v>
      </c>
      <c r="BB53" s="189">
        <f t="shared" si="39"/>
        <v>0</v>
      </c>
      <c r="BC53" s="363">
        <f t="shared" si="39"/>
        <v>0</v>
      </c>
      <c r="BD53" s="312">
        <f t="shared" si="39"/>
        <v>0</v>
      </c>
      <c r="BE53" s="189">
        <f t="shared" si="39"/>
        <v>0</v>
      </c>
      <c r="BF53" s="363">
        <f t="shared" si="39"/>
        <v>0</v>
      </c>
      <c r="BG53" s="189">
        <f t="shared" si="16"/>
        <v>0</v>
      </c>
      <c r="BH53" s="189">
        <f t="shared" si="17"/>
        <v>0</v>
      </c>
      <c r="BI53" s="363">
        <f t="shared" si="18"/>
        <v>0</v>
      </c>
      <c r="BJ53" s="240"/>
    </row>
    <row r="54" spans="1:62" ht="15" thickTop="1" x14ac:dyDescent="0.2">
      <c r="N54" s="67"/>
    </row>
    <row r="55" spans="1:62" ht="15" x14ac:dyDescent="0.2">
      <c r="D55" s="42"/>
    </row>
    <row r="56" spans="1:62" x14ac:dyDescent="0.2">
      <c r="N56" s="68"/>
    </row>
    <row r="57" spans="1:62" x14ac:dyDescent="0.2">
      <c r="N57" s="73"/>
      <c r="BI57" s="33" t="s">
        <v>212</v>
      </c>
    </row>
    <row r="58" spans="1:62" x14ac:dyDescent="0.2">
      <c r="X58" s="70"/>
      <c r="BI58" s="33" t="s">
        <v>211</v>
      </c>
    </row>
    <row r="59" spans="1:62" ht="29.25" customHeight="1" x14ac:dyDescent="0.2">
      <c r="D59" s="67" t="s">
        <v>0</v>
      </c>
      <c r="X59" s="36" t="s">
        <v>0</v>
      </c>
      <c r="BG59" s="33" t="s">
        <v>240</v>
      </c>
      <c r="BI59" s="33">
        <v>0</v>
      </c>
    </row>
    <row r="60" spans="1:62" x14ac:dyDescent="0.2">
      <c r="X60" s="70"/>
      <c r="BG60" s="33" t="s">
        <v>240</v>
      </c>
      <c r="BI60" s="33">
        <v>4</v>
      </c>
    </row>
    <row r="61" spans="1:62" ht="30" customHeight="1" x14ac:dyDescent="0.2">
      <c r="D61" s="67" t="s">
        <v>0</v>
      </c>
      <c r="X61" s="36" t="s">
        <v>0</v>
      </c>
      <c r="BG61" s="33" t="s">
        <v>240</v>
      </c>
      <c r="BI61" s="33">
        <v>5</v>
      </c>
    </row>
    <row r="62" spans="1:62" ht="30" customHeight="1" x14ac:dyDescent="0.2">
      <c r="X62" s="70"/>
      <c r="BG62" s="33" t="s">
        <v>241</v>
      </c>
      <c r="BI62" s="33">
        <v>72</v>
      </c>
    </row>
    <row r="63" spans="1:62" ht="30" customHeight="1" x14ac:dyDescent="0.2">
      <c r="D63" s="67" t="s">
        <v>0</v>
      </c>
      <c r="X63" s="36" t="s">
        <v>0</v>
      </c>
      <c r="BG63" s="33" t="s">
        <v>240</v>
      </c>
      <c r="BI63" s="33">
        <v>9</v>
      </c>
    </row>
    <row r="64" spans="1:62" ht="30" customHeight="1" x14ac:dyDescent="0.2">
      <c r="X64" s="70"/>
      <c r="BG64" s="33" t="s">
        <v>242</v>
      </c>
      <c r="BH64" s="33">
        <v>2</v>
      </c>
      <c r="BI64" s="33">
        <v>22</v>
      </c>
    </row>
    <row r="65" spans="4:61" ht="30" customHeight="1" x14ac:dyDescent="0.2">
      <c r="D65" s="67" t="s">
        <v>0</v>
      </c>
      <c r="X65" s="36" t="s">
        <v>0</v>
      </c>
      <c r="BG65" s="33" t="s">
        <v>241</v>
      </c>
      <c r="BI65" s="33">
        <v>54</v>
      </c>
    </row>
    <row r="66" spans="4:61" ht="30" customHeight="1" x14ac:dyDescent="0.2">
      <c r="N66" s="67"/>
      <c r="X66" s="70"/>
      <c r="BG66" s="33" t="s">
        <v>241</v>
      </c>
      <c r="BI66" s="33">
        <v>17</v>
      </c>
    </row>
    <row r="67" spans="4:61" ht="30" customHeight="1" x14ac:dyDescent="0.2">
      <c r="D67" s="67" t="s">
        <v>0</v>
      </c>
      <c r="X67" s="36" t="s">
        <v>0</v>
      </c>
      <c r="BG67" s="33" t="s">
        <v>241</v>
      </c>
      <c r="BI67" s="33">
        <v>20</v>
      </c>
    </row>
    <row r="68" spans="4:61" ht="30" customHeight="1" x14ac:dyDescent="0.2">
      <c r="X68" s="70"/>
    </row>
    <row r="69" spans="4:61" ht="30" customHeight="1" x14ac:dyDescent="0.2">
      <c r="D69" s="67" t="s">
        <v>0</v>
      </c>
      <c r="X69" s="36" t="s">
        <v>0</v>
      </c>
    </row>
    <row r="70" spans="4:61" ht="15" customHeight="1" x14ac:dyDescent="0.2">
      <c r="D70" s="36"/>
      <c r="BI70" s="33" t="s">
        <v>213</v>
      </c>
    </row>
    <row r="71" spans="4:61" ht="15" customHeight="1" x14ac:dyDescent="0.2">
      <c r="D71" s="36"/>
      <c r="N71" s="99"/>
      <c r="BI71" s="98" t="s">
        <v>207</v>
      </c>
    </row>
    <row r="72" spans="4:61" ht="15" customHeight="1" x14ac:dyDescent="0.2">
      <c r="D72" s="36"/>
    </row>
    <row r="73" spans="4:61" ht="15" customHeight="1" x14ac:dyDescent="0.2">
      <c r="D73" s="36"/>
    </row>
    <row r="74" spans="4:61" ht="15" customHeight="1" x14ac:dyDescent="0.2">
      <c r="D74" s="36"/>
    </row>
    <row r="75" spans="4:61" ht="15" customHeight="1" x14ac:dyDescent="0.2">
      <c r="D75" s="36"/>
    </row>
    <row r="76" spans="4:61" ht="15" customHeight="1" x14ac:dyDescent="0.2">
      <c r="D76" s="36"/>
    </row>
  </sheetData>
  <mergeCells count="39">
    <mergeCell ref="N5:V5"/>
    <mergeCell ref="N8:V8"/>
    <mergeCell ref="U9:V9"/>
    <mergeCell ref="AI9:AK9"/>
    <mergeCell ref="BG9:BI9"/>
    <mergeCell ref="W5:BI5"/>
    <mergeCell ref="AC9:AE9"/>
    <mergeCell ref="W9:Y9"/>
    <mergeCell ref="S9:T9"/>
    <mergeCell ref="Z9:AB9"/>
    <mergeCell ref="AF9:AH9"/>
    <mergeCell ref="BD9:BF9"/>
    <mergeCell ref="AL9:AN9"/>
    <mergeCell ref="AU9:AW9"/>
    <mergeCell ref="BA9:BC9"/>
    <mergeCell ref="AO9:AQ9"/>
    <mergeCell ref="D12:D13"/>
    <mergeCell ref="X12:Y12"/>
    <mergeCell ref="AD12:AE12"/>
    <mergeCell ref="AP12:AQ12"/>
    <mergeCell ref="S12:T12"/>
    <mergeCell ref="U12:V12"/>
    <mergeCell ref="AM12:AN12"/>
    <mergeCell ref="AA12:AB12"/>
    <mergeCell ref="AJ12:AK12"/>
    <mergeCell ref="AG12:AH12"/>
    <mergeCell ref="O12:R12"/>
    <mergeCell ref="AS12:AT12"/>
    <mergeCell ref="AV12:AW12"/>
    <mergeCell ref="BH12:BI12"/>
    <mergeCell ref="BE12:BF12"/>
    <mergeCell ref="BB12:BC12"/>
    <mergeCell ref="AY12:AZ12"/>
    <mergeCell ref="AX9:AZ9"/>
    <mergeCell ref="AR9:AT9"/>
    <mergeCell ref="E9:G9"/>
    <mergeCell ref="H9:J9"/>
    <mergeCell ref="K9:M9"/>
    <mergeCell ref="N9:R9"/>
  </mergeCells>
  <conditionalFormatting sqref="V14:V53">
    <cfRule type="cellIs" dxfId="4" priority="10" operator="lessThan">
      <formula>0.019</formula>
    </cfRule>
    <cfRule type="cellIs" dxfId="3" priority="11" operator="greaterThan">
      <formula>0.019</formula>
    </cfRule>
  </conditionalFormatting>
  <pageMargins left="0.7" right="0.7" top="0.75" bottom="0.75" header="0.3" footer="0.3"/>
  <pageSetup paperSize="5" scale="28" orientation="landscape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B0F0"/>
  </sheetPr>
  <dimension ref="A1:CN7"/>
  <sheetViews>
    <sheetView zoomScale="90" zoomScaleNormal="90" workbookViewId="0">
      <selection activeCell="R18" sqref="R18"/>
    </sheetView>
  </sheetViews>
  <sheetFormatPr defaultRowHeight="15" outlineLevelRow="1" outlineLevelCol="1" x14ac:dyDescent="0.25"/>
  <cols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4" width="17" customWidth="1"/>
    <col min="15" max="15" width="14.5703125" customWidth="1"/>
    <col min="16" max="16" width="15.5703125" style="52" bestFit="1" customWidth="1"/>
    <col min="17" max="17" width="15.5703125" style="52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5" width="9.140625" customWidth="1" outlineLevel="1"/>
    <col min="26" max="26" width="12.85546875" style="86" customWidth="1" outlineLevel="1"/>
    <col min="27" max="27" width="12.85546875" style="244" customWidth="1" outlineLevel="1"/>
    <col min="28" max="28" width="16.140625" style="85" bestFit="1" customWidth="1"/>
    <col min="29" max="30" width="22.5703125" style="85" customWidth="1"/>
    <col min="31" max="31" width="9.140625" customWidth="1"/>
    <col min="32" max="32" width="22.5703125" style="85" bestFit="1" customWidth="1"/>
    <col min="33" max="33" width="22.5703125" style="85" customWidth="1"/>
    <col min="34" max="34" width="11.140625" customWidth="1"/>
    <col min="35" max="35" width="9.7109375" bestFit="1" customWidth="1"/>
    <col min="36" max="36" width="20.42578125" style="86" bestFit="1" customWidth="1"/>
    <col min="37" max="37" width="20.140625" style="86" customWidth="1"/>
    <col min="38" max="38" width="13.42578125" bestFit="1" customWidth="1"/>
    <col min="39" max="41" width="18.140625" style="85" customWidth="1"/>
    <col min="42" max="44" width="20.5703125" style="85" customWidth="1"/>
    <col min="45" max="47" width="21.28515625" style="85" customWidth="1"/>
    <col min="48" max="49" width="18.140625" style="85" customWidth="1"/>
    <col min="50" max="50" width="18.140625" customWidth="1"/>
    <col min="51" max="53" width="22.85546875" style="85" customWidth="1"/>
    <col min="54" max="57" width="18.140625" style="85" customWidth="1"/>
    <col min="58" max="59" width="27.42578125" style="85" customWidth="1"/>
    <col min="60" max="60" width="18.140625" customWidth="1"/>
    <col min="61" max="61" width="29.42578125" customWidth="1"/>
    <col min="62" max="62" width="18.140625" customWidth="1"/>
    <col min="63" max="63" width="34.28515625" customWidth="1"/>
    <col min="64" max="64" width="24.5703125" customWidth="1"/>
    <col min="65" max="65" width="21.85546875" customWidth="1"/>
    <col min="66" max="66" width="21.85546875" style="85" customWidth="1"/>
    <col min="67" max="67" width="21.85546875" style="247" customWidth="1"/>
    <col min="68" max="68" width="21.85546875" style="85" customWidth="1"/>
    <col min="69" max="69" width="21.85546875" customWidth="1"/>
    <col min="70" max="70" width="15.5703125" customWidth="1" outlineLevel="1"/>
    <col min="71" max="71" width="27.28515625" customWidth="1"/>
    <col min="72" max="83" width="9.140625" customWidth="1"/>
    <col min="84" max="84" width="21.5703125" customWidth="1"/>
    <col min="85" max="85" width="5.7109375" style="28" customWidth="1"/>
    <col min="86" max="86" width="33" bestFit="1" customWidth="1"/>
    <col min="87" max="87" width="33" customWidth="1"/>
    <col min="88" max="89" width="12.7109375" customWidth="1"/>
    <col min="90" max="90" width="12.7109375" style="85" customWidth="1"/>
    <col min="91" max="91" width="29.28515625" style="101" customWidth="1"/>
    <col min="92" max="92" width="9.140625" style="27"/>
  </cols>
  <sheetData>
    <row r="1" spans="1:92" x14ac:dyDescent="0.25">
      <c r="C1" s="2" t="s">
        <v>68</v>
      </c>
      <c r="I1" t="s">
        <v>0</v>
      </c>
      <c r="Z1" s="52"/>
      <c r="AA1" s="85"/>
      <c r="AB1"/>
      <c r="AC1"/>
      <c r="AD1"/>
      <c r="AF1"/>
      <c r="AG1"/>
      <c r="AJ1"/>
      <c r="AK1"/>
      <c r="AM1"/>
      <c r="AN1"/>
      <c r="AO1"/>
      <c r="AP1"/>
      <c r="AQ1"/>
      <c r="AR1"/>
      <c r="AS1"/>
      <c r="AT1"/>
      <c r="AU1"/>
      <c r="AV1"/>
      <c r="AW1"/>
      <c r="AY1"/>
      <c r="AZ1"/>
      <c r="BA1"/>
      <c r="BB1"/>
      <c r="BC1"/>
      <c r="BD1"/>
      <c r="BE1"/>
      <c r="BF1"/>
      <c r="BG1"/>
      <c r="CH1" s="3" t="s">
        <v>17</v>
      </c>
      <c r="CM1" s="101" t="s">
        <v>235</v>
      </c>
    </row>
    <row r="2" spans="1:92" x14ac:dyDescent="0.25"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55"/>
      <c r="Q2" s="55"/>
      <c r="R2" s="69"/>
      <c r="S2" s="69"/>
      <c r="T2" s="69"/>
      <c r="U2" s="69"/>
      <c r="V2" s="69"/>
      <c r="W2" s="69"/>
      <c r="X2" s="26"/>
      <c r="Y2" s="69"/>
      <c r="Z2" s="69"/>
      <c r="AA2" s="243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243"/>
      <c r="BO2" s="248"/>
      <c r="BP2" s="243"/>
      <c r="BQ2" s="69"/>
      <c r="BR2" s="69"/>
      <c r="BS2" s="69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H2" s="66"/>
      <c r="CI2" s="19"/>
      <c r="CK2" s="27"/>
      <c r="CL2" s="92"/>
    </row>
    <row r="3" spans="1:92" s="23" customFormat="1" x14ac:dyDescent="0.25">
      <c r="B3" s="27" t="s">
        <v>386</v>
      </c>
      <c r="C3" s="26" t="s">
        <v>380</v>
      </c>
      <c r="D3" s="26" t="s">
        <v>380</v>
      </c>
      <c r="E3" s="26" t="s">
        <v>380</v>
      </c>
      <c r="F3" s="26" t="s">
        <v>380</v>
      </c>
      <c r="G3" s="26" t="s">
        <v>380</v>
      </c>
      <c r="H3" s="26" t="s">
        <v>380</v>
      </c>
      <c r="I3" s="26" t="s">
        <v>380</v>
      </c>
      <c r="J3" s="26" t="s">
        <v>380</v>
      </c>
      <c r="K3" s="26" t="s">
        <v>380</v>
      </c>
      <c r="L3" s="26" t="s">
        <v>380</v>
      </c>
      <c r="M3" s="26" t="s">
        <v>380</v>
      </c>
      <c r="N3" s="26" t="s">
        <v>380</v>
      </c>
      <c r="O3" s="26" t="s">
        <v>381</v>
      </c>
      <c r="P3" s="53" t="s">
        <v>380</v>
      </c>
      <c r="Q3" s="53" t="s">
        <v>380</v>
      </c>
      <c r="R3" s="53" t="s">
        <v>380</v>
      </c>
      <c r="S3" s="53" t="s">
        <v>380</v>
      </c>
      <c r="T3" s="53" t="s">
        <v>380</v>
      </c>
      <c r="U3" s="53" t="s">
        <v>380</v>
      </c>
      <c r="V3" s="53" t="s">
        <v>380</v>
      </c>
      <c r="W3" s="53" t="s">
        <v>380</v>
      </c>
      <c r="X3" s="26" t="s">
        <v>382</v>
      </c>
      <c r="Y3" s="53" t="s">
        <v>380</v>
      </c>
      <c r="Z3" s="53" t="s">
        <v>380</v>
      </c>
      <c r="AA3" s="53" t="s">
        <v>380</v>
      </c>
      <c r="AB3" s="53" t="s">
        <v>380</v>
      </c>
      <c r="AC3" s="84" t="s">
        <v>381</v>
      </c>
      <c r="AD3" s="84" t="s">
        <v>381</v>
      </c>
      <c r="AE3" s="53" t="s">
        <v>380</v>
      </c>
      <c r="AF3" s="84" t="s">
        <v>381</v>
      </c>
      <c r="AG3" s="84" t="s">
        <v>381</v>
      </c>
      <c r="AH3" s="53" t="s">
        <v>380</v>
      </c>
      <c r="AI3" s="53" t="s">
        <v>380</v>
      </c>
      <c r="AJ3" s="53" t="s">
        <v>380</v>
      </c>
      <c r="AK3" s="53" t="s">
        <v>380</v>
      </c>
      <c r="AL3" s="53" t="s">
        <v>380</v>
      </c>
      <c r="AM3" s="84" t="s">
        <v>381</v>
      </c>
      <c r="AN3" s="84" t="s">
        <v>381</v>
      </c>
      <c r="AO3" s="84" t="s">
        <v>381</v>
      </c>
      <c r="AP3" s="84" t="s">
        <v>381</v>
      </c>
      <c r="AQ3" s="84" t="s">
        <v>381</v>
      </c>
      <c r="AR3" s="84" t="s">
        <v>381</v>
      </c>
      <c r="AS3" s="84" t="s">
        <v>381</v>
      </c>
      <c r="AT3" s="84" t="s">
        <v>381</v>
      </c>
      <c r="AU3" s="84" t="s">
        <v>381</v>
      </c>
      <c r="AV3" s="84" t="s">
        <v>381</v>
      </c>
      <c r="AW3" s="84" t="s">
        <v>381</v>
      </c>
      <c r="AX3" s="53" t="s">
        <v>380</v>
      </c>
      <c r="AY3" s="84" t="s">
        <v>381</v>
      </c>
      <c r="AZ3" s="84" t="s">
        <v>381</v>
      </c>
      <c r="BA3" s="84" t="s">
        <v>381</v>
      </c>
      <c r="BB3" s="84" t="s">
        <v>381</v>
      </c>
      <c r="BC3" s="84" t="s">
        <v>381</v>
      </c>
      <c r="BD3" s="84" t="s">
        <v>381</v>
      </c>
      <c r="BE3" s="84" t="s">
        <v>381</v>
      </c>
      <c r="BF3" s="84" t="s">
        <v>381</v>
      </c>
      <c r="BG3" s="84" t="s">
        <v>381</v>
      </c>
      <c r="BH3" s="53" t="s">
        <v>380</v>
      </c>
      <c r="BI3" s="53" t="s">
        <v>380</v>
      </c>
      <c r="BJ3" s="53" t="s">
        <v>380</v>
      </c>
      <c r="BK3" s="53" t="s">
        <v>380</v>
      </c>
      <c r="BL3" s="26" t="str">
        <f>IF(CK3="-",VLOOKUP(CH3,Info!$C$1:$F$22,4,FALSE),CK3)</f>
        <v>Exception</v>
      </c>
      <c r="BM3" s="27" t="str">
        <f>VLOOKUP(BL3,Info!$F$1:$H$23,3,FALSE)</f>
        <v>Merchants</v>
      </c>
      <c r="BN3" s="92" t="str">
        <f>IFERROR(IF(BM3="Merchants","-",IF(AC3&lt;&gt;"-",AC3,IF(AND(AB3="T",AF3&lt;&gt;"-"),(WORKDAY(AF3,-20)),IF(AD3&lt;&gt;"-",AD3,IF(AF3&lt;&gt;"-",AF3,(IF(AND(X3="Yes",AV3&lt;&gt;"-"),(WORKDAY(AV3,12)),IF(AND(X3="Yes",AV3="-"),(WORKDAY(AA3,16)),IF(X3="No",IF(AND(AW3&lt;&gt;"-",AV3&lt;&gt;"-"),(WORKDAY(MAX(AW3,AV3),12)),(WORKDAY(AN3,40)))))))))))),"-")</f>
        <v>-</v>
      </c>
      <c r="BO3" s="242" t="str">
        <f ca="1">IFERROR(IF(BN3&gt;TODAY(),"T- "&amp;ROUNDUP(BN3-TODAY(),0),"Past"),"-")</f>
        <v>-</v>
      </c>
      <c r="BP3" s="92" t="str">
        <f ca="1">IF(BN3="-",BN3,IFERROR(TODAY()+VLOOKUP(BL3,Info!$F$1:$L$25,7,FALSE),"-"))</f>
        <v>-</v>
      </c>
      <c r="BQ3" s="27" t="str">
        <f>IF(BN3="-","Exception",(IFERROR(IF(BO3="Past","Out of SLA",(IF(BP3&lt;=BN3,"Trending in SLA", IF(BP3&gt;BN3,"Trending Out of SLA","Trending in SLA")))),"-")))</f>
        <v>Exception</v>
      </c>
      <c r="BR3" s="27" t="str">
        <f ca="1">IFERROR(NETWORKDAYS(AN3,TODAY(),0),"-")</f>
        <v>-</v>
      </c>
      <c r="BS3" s="53" t="s">
        <v>380</v>
      </c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9"/>
      <c r="CH3" s="53" t="s">
        <v>380</v>
      </c>
      <c r="CI3" s="53" t="s">
        <v>380</v>
      </c>
      <c r="CJ3" s="27"/>
      <c r="CK3" s="27" t="str">
        <f>IF(AI3="T","Sell off",IF(AL3="C","C-Status",IF(BK3&gt;0,"Exception",IF(BH3="Rollup Product","Rollup Product Workflow","-"))))</f>
        <v>Exception</v>
      </c>
      <c r="CL3" s="92">
        <f>MAX(AR3,AT3)</f>
        <v>0</v>
      </c>
      <c r="CM3" s="101" t="str">
        <f>IF(BI3=0,BL3,BI3&amp;" WF Status - "&amp;BL3)</f>
        <v>MatchHeader WF Status - Exception</v>
      </c>
      <c r="CN3" s="271" t="str">
        <f>IF(AND('Details-Products'!CM3=Info!$F$3,'Details-Products'!CL2&gt;0),"Awaiting Vendor Assets",'Details-Products'!CM3)</f>
        <v>MatchHeader WF Status - Exception</v>
      </c>
    </row>
    <row r="4" spans="1:92" s="9" customFormat="1" outlineLevel="1" x14ac:dyDescent="0.25">
      <c r="A4" s="9" t="s">
        <v>387</v>
      </c>
      <c r="B4">
        <v>2</v>
      </c>
      <c r="C4" s="21" t="s">
        <v>101</v>
      </c>
      <c r="D4" s="21" t="s">
        <v>69</v>
      </c>
      <c r="E4" s="21" t="s">
        <v>122</v>
      </c>
      <c r="F4" s="21" t="s">
        <v>70</v>
      </c>
      <c r="G4" s="21" t="s">
        <v>123</v>
      </c>
      <c r="H4" s="21" t="s">
        <v>71</v>
      </c>
      <c r="I4" s="21" t="s">
        <v>124</v>
      </c>
      <c r="J4" s="21" t="s">
        <v>62</v>
      </c>
      <c r="K4" s="21" t="s">
        <v>34</v>
      </c>
      <c r="L4" s="21" t="s">
        <v>72</v>
      </c>
      <c r="M4" s="21" t="s">
        <v>125</v>
      </c>
      <c r="N4" s="21" t="s">
        <v>73</v>
      </c>
      <c r="O4" s="21" t="s">
        <v>243</v>
      </c>
      <c r="P4" s="54" t="s">
        <v>99</v>
      </c>
      <c r="Q4" s="54" t="s">
        <v>231</v>
      </c>
      <c r="R4" s="21" t="s">
        <v>220</v>
      </c>
      <c r="S4" s="21" t="s">
        <v>74</v>
      </c>
      <c r="T4" s="21" t="s">
        <v>75</v>
      </c>
      <c r="U4" s="21" t="s">
        <v>76</v>
      </c>
      <c r="V4" s="21" t="s">
        <v>77</v>
      </c>
      <c r="W4" s="21" t="s">
        <v>78</v>
      </c>
      <c r="X4" s="21" t="s">
        <v>206</v>
      </c>
      <c r="Y4" s="21" t="s">
        <v>204</v>
      </c>
      <c r="Z4" s="54" t="s">
        <v>205</v>
      </c>
      <c r="AA4" s="93" t="s">
        <v>278</v>
      </c>
      <c r="AB4" s="21" t="s">
        <v>172</v>
      </c>
      <c r="AC4" s="21" t="s">
        <v>276</v>
      </c>
      <c r="AD4" s="21" t="s">
        <v>82</v>
      </c>
      <c r="AE4" s="21" t="s">
        <v>60</v>
      </c>
      <c r="AF4" s="21" t="s">
        <v>79</v>
      </c>
      <c r="AG4" s="21" t="s">
        <v>105</v>
      </c>
      <c r="AH4" s="21" t="s">
        <v>81</v>
      </c>
      <c r="AI4" s="21" t="s">
        <v>83</v>
      </c>
      <c r="AJ4" s="21" t="s">
        <v>42</v>
      </c>
      <c r="AK4" s="21" t="s">
        <v>45</v>
      </c>
      <c r="AL4" s="21" t="s">
        <v>324</v>
      </c>
      <c r="AM4" s="21" t="s">
        <v>84</v>
      </c>
      <c r="AN4" s="21" t="s">
        <v>128</v>
      </c>
      <c r="AO4" s="21" t="s">
        <v>130</v>
      </c>
      <c r="AP4" s="21" t="s">
        <v>270</v>
      </c>
      <c r="AQ4" s="21" t="s">
        <v>271</v>
      </c>
      <c r="AR4" s="21" t="s">
        <v>85</v>
      </c>
      <c r="AS4" s="21" t="s">
        <v>51</v>
      </c>
      <c r="AT4" s="21" t="s">
        <v>223</v>
      </c>
      <c r="AU4" s="21" t="s">
        <v>224</v>
      </c>
      <c r="AV4" s="21" t="s">
        <v>86</v>
      </c>
      <c r="AW4" s="21" t="s">
        <v>173</v>
      </c>
      <c r="AX4" s="21" t="s">
        <v>261</v>
      </c>
      <c r="AY4" s="21" t="s">
        <v>88</v>
      </c>
      <c r="AZ4" s="21" t="s">
        <v>368</v>
      </c>
      <c r="BA4" s="21" t="s">
        <v>174</v>
      </c>
      <c r="BB4" s="21" t="s">
        <v>102</v>
      </c>
      <c r="BC4" s="21" t="s">
        <v>103</v>
      </c>
      <c r="BD4" s="21" t="s">
        <v>106</v>
      </c>
      <c r="BE4" s="21" t="s">
        <v>175</v>
      </c>
      <c r="BF4" s="21" t="s">
        <v>89</v>
      </c>
      <c r="BG4" s="21" t="s">
        <v>178</v>
      </c>
      <c r="BH4" s="21" t="s">
        <v>87</v>
      </c>
      <c r="BI4" s="21" t="s">
        <v>176</v>
      </c>
      <c r="BJ4" s="21" t="s">
        <v>177</v>
      </c>
      <c r="BK4" s="21" t="s">
        <v>221</v>
      </c>
      <c r="BL4" s="21" t="s">
        <v>47</v>
      </c>
      <c r="BM4" s="21"/>
      <c r="BN4" s="93"/>
      <c r="BO4" s="249"/>
      <c r="BP4" s="93"/>
      <c r="BQ4" s="21"/>
      <c r="BR4" s="21"/>
      <c r="BS4" s="21" t="s">
        <v>104</v>
      </c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30"/>
      <c r="CH4" s="9" t="s">
        <v>132</v>
      </c>
      <c r="CI4" s="21" t="s">
        <v>47</v>
      </c>
      <c r="CJ4" s="21"/>
      <c r="CK4" s="21"/>
      <c r="CL4" s="93"/>
      <c r="CM4" s="102"/>
      <c r="CN4" s="87"/>
    </row>
    <row r="5" spans="1:92" s="9" customFormat="1" outlineLevel="1" x14ac:dyDescent="0.25"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54"/>
      <c r="Q5" s="54"/>
      <c r="R5" s="21"/>
      <c r="S5" s="21"/>
      <c r="T5" s="21"/>
      <c r="U5" s="21"/>
      <c r="V5" s="21"/>
      <c r="W5" s="21"/>
      <c r="X5" s="21"/>
      <c r="Y5" s="21"/>
      <c r="Z5" s="54"/>
      <c r="AA5" s="93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93"/>
      <c r="BO5" s="249"/>
      <c r="BP5" s="93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30"/>
      <c r="CH5" s="21"/>
      <c r="CI5" s="21"/>
      <c r="CJ5" s="21"/>
      <c r="CK5" s="21"/>
      <c r="CL5" s="21"/>
      <c r="CM5" s="21"/>
      <c r="CN5" s="21"/>
    </row>
    <row r="6" spans="1:92" s="6" customFormat="1" ht="24.75" customHeight="1" x14ac:dyDescent="0.4">
      <c r="C6" s="412" t="s">
        <v>63</v>
      </c>
      <c r="D6" s="413"/>
      <c r="E6" s="413"/>
      <c r="F6" s="413"/>
      <c r="G6" s="413"/>
      <c r="H6" s="413"/>
      <c r="I6" s="413"/>
      <c r="J6" s="413"/>
      <c r="K6" s="413"/>
      <c r="L6" s="413"/>
      <c r="M6" s="413"/>
      <c r="N6" s="414"/>
      <c r="O6" s="107"/>
      <c r="P6" s="415" t="s">
        <v>64</v>
      </c>
      <c r="Q6" s="416"/>
      <c r="R6" s="416"/>
      <c r="S6" s="416"/>
      <c r="T6" s="416"/>
      <c r="U6" s="416"/>
      <c r="V6" s="416"/>
      <c r="W6" s="417"/>
      <c r="X6" s="430" t="s">
        <v>65</v>
      </c>
      <c r="Y6" s="431"/>
      <c r="Z6" s="431"/>
      <c r="AA6" s="432"/>
      <c r="AB6" s="424" t="s">
        <v>98</v>
      </c>
      <c r="AC6" s="425"/>
      <c r="AD6" s="426"/>
      <c r="AE6" s="427" t="s">
        <v>67</v>
      </c>
      <c r="AF6" s="428"/>
      <c r="AG6" s="428"/>
      <c r="AH6" s="429"/>
      <c r="AI6" s="418" t="s">
        <v>44</v>
      </c>
      <c r="AJ6" s="419"/>
      <c r="AK6" s="419"/>
      <c r="AL6" s="420"/>
      <c r="AM6" s="421" t="s">
        <v>49</v>
      </c>
      <c r="AN6" s="422"/>
      <c r="AO6" s="422"/>
      <c r="AP6" s="422"/>
      <c r="AQ6" s="422"/>
      <c r="AR6" s="422"/>
      <c r="AS6" s="422"/>
      <c r="AT6" s="422"/>
      <c r="AU6" s="422"/>
      <c r="AV6" s="422"/>
      <c r="AW6" s="422"/>
      <c r="AX6" s="422"/>
      <c r="AY6" s="422"/>
      <c r="AZ6" s="422"/>
      <c r="BA6" s="422"/>
      <c r="BB6" s="422"/>
      <c r="BC6" s="422"/>
      <c r="BD6" s="422"/>
      <c r="BE6" s="422"/>
      <c r="BF6" s="422"/>
      <c r="BG6" s="422"/>
      <c r="BH6" s="422"/>
      <c r="BI6" s="422"/>
      <c r="BJ6" s="422"/>
      <c r="BK6" s="422"/>
      <c r="BL6" s="422"/>
      <c r="BM6" s="422"/>
      <c r="BN6" s="422"/>
      <c r="BO6" s="422"/>
      <c r="BP6" s="422"/>
      <c r="BQ6" s="422"/>
      <c r="BR6" s="422"/>
      <c r="BS6" s="423"/>
      <c r="CG6" s="31"/>
      <c r="CL6" s="90"/>
      <c r="CM6" s="103"/>
      <c r="CN6" s="88"/>
    </row>
    <row r="7" spans="1:92" s="75" customFormat="1" ht="51.75" customHeight="1" x14ac:dyDescent="0.25">
      <c r="B7" s="318" t="s">
        <v>385</v>
      </c>
      <c r="C7" s="74" t="s">
        <v>14</v>
      </c>
      <c r="D7" s="74" t="s">
        <v>30</v>
      </c>
      <c r="E7" s="74" t="s">
        <v>25</v>
      </c>
      <c r="F7" s="74" t="s">
        <v>26</v>
      </c>
      <c r="G7" s="74" t="s">
        <v>27</v>
      </c>
      <c r="H7" s="74" t="s">
        <v>28</v>
      </c>
      <c r="I7" s="74" t="s">
        <v>29</v>
      </c>
      <c r="J7" s="74" t="s">
        <v>184</v>
      </c>
      <c r="K7" s="74" t="s">
        <v>34</v>
      </c>
      <c r="L7" s="74" t="s">
        <v>36</v>
      </c>
      <c r="M7" s="76" t="s">
        <v>24</v>
      </c>
      <c r="N7" s="74" t="s">
        <v>37</v>
      </c>
      <c r="O7" s="74" t="s">
        <v>244</v>
      </c>
      <c r="P7" s="77" t="s">
        <v>99</v>
      </c>
      <c r="Q7" s="77" t="s">
        <v>230</v>
      </c>
      <c r="R7" s="74" t="s">
        <v>22</v>
      </c>
      <c r="S7" s="74" t="s">
        <v>40</v>
      </c>
      <c r="T7" s="74" t="s">
        <v>21</v>
      </c>
      <c r="U7" s="74" t="s">
        <v>35</v>
      </c>
      <c r="V7" s="74" t="s">
        <v>31</v>
      </c>
      <c r="W7" s="76" t="s">
        <v>32</v>
      </c>
      <c r="X7" s="76" t="s">
        <v>18</v>
      </c>
      <c r="Y7" s="74" t="s">
        <v>19</v>
      </c>
      <c r="Z7" s="78" t="s">
        <v>20</v>
      </c>
      <c r="AA7" s="79" t="s">
        <v>277</v>
      </c>
      <c r="AB7" s="79" t="s">
        <v>275</v>
      </c>
      <c r="AC7" s="76" t="s">
        <v>274</v>
      </c>
      <c r="AD7" s="76" t="s">
        <v>61</v>
      </c>
      <c r="AE7" s="74" t="s">
        <v>258</v>
      </c>
      <c r="AF7" s="76" t="s">
        <v>38</v>
      </c>
      <c r="AG7" s="76" t="s">
        <v>39</v>
      </c>
      <c r="AH7" s="74" t="s">
        <v>259</v>
      </c>
      <c r="AI7" s="74" t="s">
        <v>41</v>
      </c>
      <c r="AJ7" s="78" t="s">
        <v>42</v>
      </c>
      <c r="AK7" s="78" t="s">
        <v>45</v>
      </c>
      <c r="AL7" s="74" t="s">
        <v>43</v>
      </c>
      <c r="AM7" s="74" t="s">
        <v>48</v>
      </c>
      <c r="AN7" s="74" t="s">
        <v>92</v>
      </c>
      <c r="AO7" s="74" t="s">
        <v>129</v>
      </c>
      <c r="AP7" s="74" t="s">
        <v>272</v>
      </c>
      <c r="AQ7" s="74" t="s">
        <v>273</v>
      </c>
      <c r="AR7" s="74" t="s">
        <v>50</v>
      </c>
      <c r="AS7" s="74" t="s">
        <v>51</v>
      </c>
      <c r="AT7" s="74" t="s">
        <v>223</v>
      </c>
      <c r="AU7" s="74" t="s">
        <v>224</v>
      </c>
      <c r="AV7" s="74" t="s">
        <v>23</v>
      </c>
      <c r="AW7" s="74" t="s">
        <v>188</v>
      </c>
      <c r="AX7" s="74" t="s">
        <v>260</v>
      </c>
      <c r="AY7" s="74" t="s">
        <v>52</v>
      </c>
      <c r="AZ7" s="74" t="s">
        <v>369</v>
      </c>
      <c r="BA7" s="74" t="s">
        <v>189</v>
      </c>
      <c r="BB7" s="74" t="s">
        <v>55</v>
      </c>
      <c r="BC7" s="74" t="s">
        <v>54</v>
      </c>
      <c r="BD7" s="74" t="s">
        <v>53</v>
      </c>
      <c r="BE7" s="74" t="s">
        <v>190</v>
      </c>
      <c r="BF7" s="74" t="s">
        <v>56</v>
      </c>
      <c r="BG7" s="74" t="s">
        <v>191</v>
      </c>
      <c r="BH7" s="74" t="s">
        <v>87</v>
      </c>
      <c r="BI7" s="74" t="s">
        <v>192</v>
      </c>
      <c r="BJ7" s="74" t="s">
        <v>193</v>
      </c>
      <c r="BK7" s="81" t="s">
        <v>57</v>
      </c>
      <c r="BL7" s="80" t="s">
        <v>47</v>
      </c>
      <c r="BM7" s="74" t="s">
        <v>66</v>
      </c>
      <c r="BN7" s="245" t="s">
        <v>365</v>
      </c>
      <c r="BO7" s="250" t="s">
        <v>281</v>
      </c>
      <c r="BP7" s="245" t="s">
        <v>279</v>
      </c>
      <c r="BQ7" s="246" t="s">
        <v>280</v>
      </c>
      <c r="BR7" s="235" t="s">
        <v>323</v>
      </c>
      <c r="BS7" s="74" t="s">
        <v>46</v>
      </c>
      <c r="BT7" s="82"/>
      <c r="BU7" s="82"/>
      <c r="BV7" s="82"/>
      <c r="BW7" s="82"/>
      <c r="BX7" s="82"/>
      <c r="BY7" s="82"/>
      <c r="BZ7" s="82"/>
      <c r="CA7" s="82"/>
      <c r="CB7" s="82"/>
      <c r="CC7" s="82"/>
      <c r="CD7" s="82"/>
      <c r="CE7" s="82"/>
      <c r="CF7" s="82"/>
      <c r="CG7" s="83"/>
      <c r="CH7" s="75" t="s">
        <v>134</v>
      </c>
      <c r="CI7" s="75" t="s">
        <v>135</v>
      </c>
      <c r="CJ7" s="75" t="s">
        <v>136</v>
      </c>
      <c r="CK7" s="75" t="s">
        <v>208</v>
      </c>
      <c r="CL7" s="91" t="s">
        <v>225</v>
      </c>
      <c r="CM7" s="104" t="s">
        <v>236</v>
      </c>
      <c r="CN7" s="89" t="s">
        <v>239</v>
      </c>
    </row>
  </sheetData>
  <autoFilter ref="C7:EG7" xr:uid="{00000000-0009-0000-0000-000001000000}"/>
  <mergeCells count="7">
    <mergeCell ref="C6:N6"/>
    <mergeCell ref="P6:W6"/>
    <mergeCell ref="AI6:AL6"/>
    <mergeCell ref="AM6:BS6"/>
    <mergeCell ref="AB6:AD6"/>
    <mergeCell ref="AE6:AH6"/>
    <mergeCell ref="X6:AA6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FFFF00"/>
  </sheetPr>
  <dimension ref="A1"/>
  <sheetViews>
    <sheetView workbookViewId="0">
      <selection activeCell="H37" sqref="H37"/>
    </sheetView>
  </sheetViews>
  <sheetFormatPr defaultRowHeight="15" x14ac:dyDescent="0.25"/>
  <cols>
    <col min="1" max="1" width="13.140625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9" tint="-0.249977111117893"/>
    <pageSetUpPr fitToPage="1"/>
  </sheetPr>
  <dimension ref="A1:U19"/>
  <sheetViews>
    <sheetView showGridLines="0" view="pageBreakPreview" topLeftCell="B1" zoomScaleNormal="100" zoomScaleSheetLayoutView="100" zoomScalePageLayoutView="40" workbookViewId="0">
      <selection activeCell="L18" sqref="L18"/>
    </sheetView>
  </sheetViews>
  <sheetFormatPr defaultColWidth="9.140625" defaultRowHeight="12.75" x14ac:dyDescent="0.2"/>
  <cols>
    <col min="1" max="1" width="34.7109375" style="105" hidden="1" customWidth="1"/>
    <col min="2" max="2" width="25.28515625" style="106" bestFit="1" customWidth="1"/>
    <col min="3" max="3" width="30.5703125" style="105" customWidth="1"/>
    <col min="4" max="4" width="10.5703125" style="105" customWidth="1"/>
    <col min="5" max="5" width="12.5703125" style="105" customWidth="1"/>
    <col min="6" max="6" width="11.7109375" style="105" bestFit="1" customWidth="1"/>
    <col min="7" max="7" width="12.85546875" style="105" customWidth="1"/>
    <col min="8" max="8" width="10.140625" style="105" customWidth="1"/>
    <col min="9" max="9" width="10.85546875" style="105" customWidth="1"/>
    <col min="10" max="10" width="7.7109375" style="105" customWidth="1"/>
    <col min="11" max="11" width="12.140625" style="105" customWidth="1"/>
    <col min="12" max="12" width="15" style="105" customWidth="1"/>
    <col min="13" max="13" width="10.140625" style="105" customWidth="1"/>
    <col min="14" max="14" width="13.7109375" style="105" customWidth="1"/>
    <col min="15" max="15" width="11.7109375" style="105" customWidth="1"/>
    <col min="16" max="16" width="9.85546875" style="105" customWidth="1"/>
    <col min="17" max="17" width="10.28515625" style="109" customWidth="1"/>
    <col min="18" max="18" width="10.42578125" style="109" customWidth="1"/>
    <col min="19" max="19" width="11" style="109" customWidth="1"/>
    <col min="20" max="20" width="9.140625" style="109" customWidth="1"/>
    <col min="21" max="21" width="12.140625" style="105" hidden="1" customWidth="1"/>
    <col min="22" max="22" width="0" style="105" hidden="1" customWidth="1"/>
    <col min="23" max="23" width="9.140625" style="105"/>
    <col min="24" max="24" width="14.7109375" style="105" customWidth="1"/>
    <col min="25" max="28" width="9.140625" style="105"/>
    <col min="29" max="29" width="16" style="105" customWidth="1"/>
    <col min="30" max="16384" width="9.140625" style="105"/>
  </cols>
  <sheetData>
    <row r="1" spans="2:20" s="106" customFormat="1" x14ac:dyDescent="0.2">
      <c r="Q1" s="108"/>
      <c r="R1" s="108"/>
      <c r="S1" s="108"/>
      <c r="T1" s="108"/>
    </row>
    <row r="2" spans="2:20" s="106" customFormat="1" x14ac:dyDescent="0.2">
      <c r="Q2" s="108"/>
      <c r="R2" s="108"/>
      <c r="S2" s="108"/>
      <c r="T2" s="108"/>
    </row>
    <row r="3" spans="2:20" ht="15.75" customHeight="1" x14ac:dyDescent="0.2"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8"/>
      <c r="R3" s="108"/>
      <c r="S3" s="108"/>
      <c r="T3" s="108"/>
    </row>
    <row r="4" spans="2:20" ht="19.5" thickBot="1" x14ac:dyDescent="0.35">
      <c r="C4" s="450" t="s">
        <v>245</v>
      </c>
      <c r="D4" s="450"/>
      <c r="E4" s="450"/>
      <c r="F4" s="450"/>
      <c r="G4" s="450"/>
      <c r="H4" s="450"/>
      <c r="I4" s="450"/>
      <c r="J4" s="450"/>
      <c r="K4" s="450"/>
      <c r="L4" s="450"/>
      <c r="M4" s="224"/>
      <c r="N4" s="116"/>
      <c r="O4" s="106"/>
      <c r="P4" s="106"/>
      <c r="Q4" s="183"/>
      <c r="R4" s="108"/>
      <c r="S4" s="108"/>
      <c r="T4" s="108"/>
    </row>
    <row r="5" spans="2:20" ht="21" customHeight="1" x14ac:dyDescent="0.2">
      <c r="C5" s="451" t="s">
        <v>5</v>
      </c>
      <c r="D5" s="451" t="s">
        <v>248</v>
      </c>
      <c r="E5" s="454"/>
      <c r="F5" s="455"/>
      <c r="G5" s="458" t="s">
        <v>257</v>
      </c>
      <c r="H5" s="459"/>
      <c r="I5" s="459"/>
      <c r="J5" s="459"/>
      <c r="K5" s="458" t="s">
        <v>252</v>
      </c>
      <c r="L5" s="462"/>
      <c r="M5" s="223"/>
      <c r="N5" s="223"/>
      <c r="O5" s="223"/>
      <c r="P5" s="106"/>
      <c r="Q5" s="183"/>
      <c r="R5" s="108"/>
      <c r="S5" s="108"/>
      <c r="T5" s="108"/>
    </row>
    <row r="6" spans="2:20" ht="24.75" customHeight="1" thickBot="1" x14ac:dyDescent="0.25">
      <c r="C6" s="452"/>
      <c r="D6" s="453"/>
      <c r="E6" s="456"/>
      <c r="F6" s="457"/>
      <c r="G6" s="460"/>
      <c r="H6" s="461"/>
      <c r="I6" s="461"/>
      <c r="J6" s="461"/>
      <c r="K6" s="460"/>
      <c r="L6" s="463"/>
      <c r="M6" s="223"/>
      <c r="N6" s="223"/>
      <c r="O6" s="223"/>
      <c r="P6" s="106"/>
      <c r="Q6" s="108"/>
      <c r="R6" s="108"/>
      <c r="S6" s="108"/>
    </row>
    <row r="7" spans="2:20" ht="45" customHeight="1" thickBot="1" x14ac:dyDescent="0.25">
      <c r="B7" s="217"/>
      <c r="C7" s="453"/>
      <c r="D7" s="113" t="s">
        <v>249</v>
      </c>
      <c r="E7" s="110" t="s">
        <v>8</v>
      </c>
      <c r="F7" s="114" t="s">
        <v>250</v>
      </c>
      <c r="G7" s="113" t="s">
        <v>254</v>
      </c>
      <c r="H7" s="149" t="s">
        <v>255</v>
      </c>
      <c r="I7" s="111" t="s">
        <v>8</v>
      </c>
      <c r="J7" s="111" t="s">
        <v>250</v>
      </c>
      <c r="K7" s="115" t="s">
        <v>8</v>
      </c>
      <c r="L7" s="112" t="s">
        <v>250</v>
      </c>
      <c r="M7" s="218"/>
      <c r="N7" s="220"/>
      <c r="O7" s="220"/>
      <c r="P7" s="161"/>
      <c r="Q7" s="108"/>
      <c r="R7" s="108"/>
      <c r="S7" s="108"/>
      <c r="T7" s="108"/>
    </row>
    <row r="8" spans="2:20" ht="15.75" customHeight="1" x14ac:dyDescent="0.25">
      <c r="B8" s="215" t="s">
        <v>1</v>
      </c>
      <c r="C8" s="117" t="s">
        <v>1</v>
      </c>
      <c r="D8" s="118">
        <f>'WF Summary Chart'!AA53</f>
        <v>0</v>
      </c>
      <c r="E8" s="119">
        <f>'WF Summary Chart'!AB53</f>
        <v>0</v>
      </c>
      <c r="F8" s="120" t="str">
        <f t="shared" ref="F8:F14" si="0">IFERROR(E8/$E$14,"-")</f>
        <v>-</v>
      </c>
      <c r="G8" s="121">
        <f>COUNTIFS('Additional Color Sizes Report'!$N:$N,{"&gt;0"},'Additional Color Sizes Report'!$AR:$AR,{"Merchants"})</f>
        <v>0</v>
      </c>
      <c r="H8" s="121">
        <f>SUMIFS('Additional Color Sizes Report'!AS:AS,'Additional Color Sizes Report'!$N:$N,{"&gt;0"},'Additional Color Sizes Report'!$AR:$AR,{"Merchants"})</f>
        <v>0</v>
      </c>
      <c r="I8" s="261">
        <f>SUMIFS('Additional Color Sizes Report'!R:R,'Additional Color Sizes Report'!$N:$N,{"&gt;0"},'Additional Color Sizes Report'!$AR:$AR,{"Merchants"})</f>
        <v>0</v>
      </c>
      <c r="J8" s="120" t="str">
        <f>IFERROR(I8/$I$14,"-")</f>
        <v>-</v>
      </c>
      <c r="K8" s="172">
        <f>E8+I8</f>
        <v>0</v>
      </c>
      <c r="L8" s="120" t="str">
        <f t="shared" ref="L8:L14" si="1">IFERROR(K8/$K$14,"-")</f>
        <v>-</v>
      </c>
      <c r="M8" s="221"/>
      <c r="N8" s="4"/>
      <c r="O8" s="4"/>
      <c r="P8" s="4"/>
      <c r="Q8" s="4"/>
      <c r="R8" s="4"/>
      <c r="S8" s="4"/>
      <c r="T8" s="108"/>
    </row>
    <row r="9" spans="2:20" ht="15.75" customHeight="1" x14ac:dyDescent="0.25">
      <c r="B9" s="216" t="s">
        <v>6</v>
      </c>
      <c r="C9" s="227" t="s">
        <v>6</v>
      </c>
      <c r="D9" s="228">
        <f>'WF Summary Chart'!AM53</f>
        <v>0</v>
      </c>
      <c r="E9" s="229">
        <f>'WF Summary Chart'!AN53</f>
        <v>0</v>
      </c>
      <c r="F9" s="230" t="str">
        <f t="shared" si="0"/>
        <v>-</v>
      </c>
      <c r="G9" s="254">
        <f>COUNTIFS('Additional Color Sizes Report'!$N:$N,{"&gt;0"},'Additional Color Sizes Report'!$AR:$AR,{"Sample Management"})</f>
        <v>0</v>
      </c>
      <c r="H9" s="255">
        <f>SUMIFS('Additional Color Sizes Report'!AS:AS,'Additional Color Sizes Report'!$N:$N,{"&gt;0"},'Additional Color Sizes Report'!$AR:$AR,{"Sample Management"})</f>
        <v>0</v>
      </c>
      <c r="I9" s="231">
        <f>SUMIFS('Additional Color Sizes Report'!R:R,'Additional Color Sizes Report'!$N:$N,{"&gt;0"},'Additional Color Sizes Report'!$AR:$AR,{"Sample Management"})</f>
        <v>0</v>
      </c>
      <c r="J9" s="232" t="str">
        <f>IFERROR(I9/$I$14,"-")</f>
        <v>-</v>
      </c>
      <c r="K9" s="233">
        <f t="shared" ref="K9:K14" si="2">E9+I9</f>
        <v>0</v>
      </c>
      <c r="L9" s="230" t="str">
        <f t="shared" si="1"/>
        <v>-</v>
      </c>
      <c r="M9" s="221"/>
      <c r="N9" s="4"/>
      <c r="O9" s="4"/>
      <c r="P9" s="4"/>
      <c r="Q9" s="4"/>
      <c r="R9" s="4"/>
      <c r="S9" s="4"/>
      <c r="T9" s="108"/>
    </row>
    <row r="10" spans="2:20" ht="15.75" customHeight="1" x14ac:dyDescent="0.25">
      <c r="B10" s="216"/>
      <c r="C10" s="122" t="s">
        <v>7</v>
      </c>
      <c r="D10" s="123">
        <f>'WF Summary Chart'!AP53</f>
        <v>0</v>
      </c>
      <c r="E10" s="124">
        <f>'WF Summary Chart'!AQ53</f>
        <v>0</v>
      </c>
      <c r="F10" s="125" t="str">
        <f t="shared" si="0"/>
        <v>-</v>
      </c>
      <c r="G10" s="177" t="s">
        <v>194</v>
      </c>
      <c r="H10" s="178" t="s">
        <v>194</v>
      </c>
      <c r="I10" s="179" t="s">
        <v>194</v>
      </c>
      <c r="J10" s="156" t="s">
        <v>194</v>
      </c>
      <c r="K10" s="165">
        <f>E10</f>
        <v>0</v>
      </c>
      <c r="L10" s="125" t="str">
        <f t="shared" si="1"/>
        <v>-</v>
      </c>
      <c r="M10" s="221"/>
      <c r="N10" s="4"/>
      <c r="O10" s="4"/>
      <c r="P10" s="4"/>
      <c r="Q10" s="4"/>
      <c r="R10" s="4"/>
      <c r="S10" s="4"/>
      <c r="T10" s="108"/>
    </row>
    <row r="11" spans="2:20" ht="15.75" customHeight="1" x14ac:dyDescent="0.25">
      <c r="B11" s="216" t="s">
        <v>11</v>
      </c>
      <c r="C11" s="126" t="s">
        <v>11</v>
      </c>
      <c r="D11" s="127">
        <f>'WF Summary Chart'!AS53</f>
        <v>0</v>
      </c>
      <c r="E11" s="128">
        <f>'WF Summary Chart'!AT53</f>
        <v>0</v>
      </c>
      <c r="F11" s="129" t="str">
        <f t="shared" si="0"/>
        <v>-</v>
      </c>
      <c r="G11" s="130">
        <f>COUNTIFS('Additional Color Sizes Report'!$N:$N,{"&gt;0"},'Additional Color Sizes Report'!$AR:$AR,{"Image Edit"})</f>
        <v>0</v>
      </c>
      <c r="H11" s="150">
        <f>SUMIFS('Additional Color Sizes Report'!AS:AS,'Additional Color Sizes Report'!$N:$N,{"&gt;0"},'Additional Color Sizes Report'!$AR:$AR,{"Image Edit"})</f>
        <v>0</v>
      </c>
      <c r="I11" s="154">
        <f>SUMIFS('Additional Color Sizes Report'!R:R,'Additional Color Sizes Report'!$N:$N,{"&gt;0"},'Additional Color Sizes Report'!$AR:$AR,{"Image Edit"})</f>
        <v>0</v>
      </c>
      <c r="J11" s="157" t="str">
        <f>IFERROR(I11/$I$14,"-")</f>
        <v>-</v>
      </c>
      <c r="K11" s="166">
        <f t="shared" si="2"/>
        <v>0</v>
      </c>
      <c r="L11" s="129" t="str">
        <f t="shared" si="1"/>
        <v>-</v>
      </c>
      <c r="M11" s="221"/>
      <c r="N11" s="4"/>
      <c r="O11" s="4"/>
      <c r="P11" s="4"/>
      <c r="Q11" s="4"/>
      <c r="R11" s="4"/>
      <c r="S11" s="4"/>
      <c r="T11" s="108"/>
    </row>
    <row r="12" spans="2:20" ht="15.75" customHeight="1" x14ac:dyDescent="0.25">
      <c r="B12" s="216"/>
      <c r="C12" s="131" t="s">
        <v>246</v>
      </c>
      <c r="D12" s="132">
        <f>'WF Summary Chart'!AV53</f>
        <v>0</v>
      </c>
      <c r="E12" s="133">
        <f>'WF Summary Chart'!AW53</f>
        <v>0</v>
      </c>
      <c r="F12" s="134" t="str">
        <f t="shared" si="0"/>
        <v>-</v>
      </c>
      <c r="G12" s="180" t="s">
        <v>194</v>
      </c>
      <c r="H12" s="181" t="s">
        <v>194</v>
      </c>
      <c r="I12" s="182" t="s">
        <v>194</v>
      </c>
      <c r="J12" s="162" t="s">
        <v>194</v>
      </c>
      <c r="K12" s="167">
        <f>E12</f>
        <v>0</v>
      </c>
      <c r="L12" s="134" t="str">
        <f t="shared" si="1"/>
        <v>-</v>
      </c>
      <c r="M12" s="221"/>
      <c r="N12" s="4"/>
      <c r="O12" s="4"/>
      <c r="P12" s="4"/>
      <c r="Q12" s="4"/>
      <c r="R12" s="4"/>
      <c r="S12" s="4"/>
      <c r="T12" s="108"/>
    </row>
    <row r="13" spans="2:20" ht="15.75" customHeight="1" x14ac:dyDescent="0.25">
      <c r="B13" s="216" t="s">
        <v>4</v>
      </c>
      <c r="C13" s="135" t="s">
        <v>4</v>
      </c>
      <c r="D13" s="136">
        <f>'WF Summary Chart'!BH53</f>
        <v>0</v>
      </c>
      <c r="E13" s="137">
        <f>'WF Summary Chart'!BI53</f>
        <v>0</v>
      </c>
      <c r="F13" s="138" t="str">
        <f t="shared" si="0"/>
        <v>-</v>
      </c>
      <c r="G13" s="139">
        <f>COUNTIFS('Additional Color Sizes Report'!$N:$N,{"&gt;0"},'Additional Color Sizes Report'!$AR:$AR,{"Item Setup"})</f>
        <v>0</v>
      </c>
      <c r="H13" s="151">
        <f>SUMIFS('Additional Color Sizes Report'!AS:AS,'Additional Color Sizes Report'!$N:$N,{"&gt;0"},'Additional Color Sizes Report'!$AR:$AR,{"Item Setup"})</f>
        <v>0</v>
      </c>
      <c r="I13" s="155">
        <f>SUMIFS('Additional Color Sizes Report'!R:R,'Additional Color Sizes Report'!$N:$N,{"&gt;0"},'Additional Color Sizes Report'!$AR:$AR,{"Item Setup"})</f>
        <v>0</v>
      </c>
      <c r="J13" s="158" t="str">
        <f>IFERROR(I13/$I$14,"-")</f>
        <v>-</v>
      </c>
      <c r="K13" s="168">
        <f t="shared" si="2"/>
        <v>0</v>
      </c>
      <c r="L13" s="138" t="str">
        <f t="shared" si="1"/>
        <v>-</v>
      </c>
      <c r="M13" s="221"/>
      <c r="N13" s="4"/>
      <c r="O13" s="4"/>
      <c r="P13" s="4"/>
      <c r="Q13" s="4"/>
      <c r="R13" s="4"/>
      <c r="S13" s="4"/>
      <c r="T13" s="108"/>
    </row>
    <row r="14" spans="2:20" ht="15.75" thickBot="1" x14ac:dyDescent="0.3">
      <c r="B14" s="217"/>
      <c r="C14" s="140" t="s">
        <v>12</v>
      </c>
      <c r="D14" s="145">
        <f>SUM(D8:D13)</f>
        <v>0</v>
      </c>
      <c r="E14" s="146">
        <f>SUM(E8:E13)</f>
        <v>0</v>
      </c>
      <c r="F14" s="147" t="str">
        <f t="shared" si="0"/>
        <v>-</v>
      </c>
      <c r="G14" s="148">
        <f>SUM(G8:G13)</f>
        <v>0</v>
      </c>
      <c r="H14" s="152">
        <f>SUM(H8:H13)</f>
        <v>0</v>
      </c>
      <c r="I14" s="153">
        <f>SUM(I8:I13)</f>
        <v>0</v>
      </c>
      <c r="J14" s="163">
        <f>SUM(J8:J13)</f>
        <v>0</v>
      </c>
      <c r="K14" s="169">
        <f t="shared" si="2"/>
        <v>0</v>
      </c>
      <c r="L14" s="147" t="str">
        <f t="shared" si="1"/>
        <v>-</v>
      </c>
      <c r="M14" s="222"/>
      <c r="N14" s="4"/>
      <c r="O14" s="4"/>
      <c r="P14" s="4"/>
      <c r="Q14" s="4"/>
      <c r="R14" s="4"/>
      <c r="S14" s="4"/>
      <c r="T14" s="108"/>
    </row>
    <row r="15" spans="2:20" ht="16.5" thickTop="1" thickBot="1" x14ac:dyDescent="0.3">
      <c r="B15" s="217"/>
      <c r="C15" s="141" t="s">
        <v>247</v>
      </c>
      <c r="D15" s="142">
        <f>'WF Summary Chart'!X53</f>
        <v>0</v>
      </c>
      <c r="E15" s="143">
        <f>'WF Summary Chart'!Y53</f>
        <v>0</v>
      </c>
      <c r="F15" s="144" t="s">
        <v>194</v>
      </c>
      <c r="G15" s="253" t="s">
        <v>194</v>
      </c>
      <c r="H15" s="176" t="s">
        <v>194</v>
      </c>
      <c r="I15" s="159" t="s">
        <v>194</v>
      </c>
      <c r="J15" s="164" t="s">
        <v>194</v>
      </c>
      <c r="K15" s="171">
        <f>E15</f>
        <v>0</v>
      </c>
      <c r="L15" s="160" t="s">
        <v>194</v>
      </c>
      <c r="M15" s="221"/>
      <c r="N15" s="4"/>
      <c r="O15" s="4"/>
      <c r="P15" s="4"/>
      <c r="Q15" s="4"/>
      <c r="R15" s="4"/>
      <c r="S15" s="4"/>
      <c r="T15" s="108"/>
    </row>
    <row r="16" spans="2:20" ht="15.75" customHeight="1" x14ac:dyDescent="0.2">
      <c r="B16" s="217"/>
      <c r="C16" s="433" t="s">
        <v>256</v>
      </c>
      <c r="D16" s="435" t="e">
        <f>E14/L17</f>
        <v>#DIV/0!</v>
      </c>
      <c r="E16" s="436"/>
      <c r="F16" s="437"/>
      <c r="G16" s="441" t="e">
        <f>I14/L17</f>
        <v>#DIV/0!</v>
      </c>
      <c r="H16" s="442"/>
      <c r="I16" s="443"/>
      <c r="J16" s="444"/>
      <c r="K16" s="449" t="e">
        <f>K14/L17</f>
        <v>#DIV/0!</v>
      </c>
      <c r="L16" s="170" t="s">
        <v>253</v>
      </c>
      <c r="M16" s="173"/>
      <c r="N16" s="174" t="s">
        <v>370</v>
      </c>
      <c r="O16" s="173"/>
      <c r="P16" s="161"/>
      <c r="Q16" s="108"/>
      <c r="R16" s="108"/>
      <c r="S16" s="108"/>
      <c r="T16" s="108"/>
    </row>
    <row r="17" spans="2:20" ht="16.5" customHeight="1" thickBot="1" x14ac:dyDescent="0.25">
      <c r="B17" s="217"/>
      <c r="C17" s="434"/>
      <c r="D17" s="438"/>
      <c r="E17" s="439"/>
      <c r="F17" s="440"/>
      <c r="G17" s="445"/>
      <c r="H17" s="446"/>
      <c r="I17" s="447"/>
      <c r="J17" s="448"/>
      <c r="K17" s="438"/>
      <c r="L17" s="175">
        <f>'WF Summary Chart'!Q53</f>
        <v>0</v>
      </c>
      <c r="N17" s="265">
        <v>1.6E-2</v>
      </c>
      <c r="O17" s="174"/>
      <c r="P17" s="161"/>
      <c r="Q17" s="108"/>
      <c r="R17" s="108"/>
      <c r="S17" s="108"/>
      <c r="T17" s="108"/>
    </row>
    <row r="18" spans="2:20" ht="16.5" customHeight="1" x14ac:dyDescent="0.25">
      <c r="B18" s="217"/>
      <c r="C18" s="4"/>
      <c r="D18" s="251"/>
      <c r="E18" s="251"/>
      <c r="F18" s="251"/>
      <c r="G18" s="251"/>
      <c r="H18" s="251"/>
      <c r="I18" s="251"/>
      <c r="J18" s="251"/>
      <c r="K18" s="251"/>
      <c r="L18" s="252"/>
      <c r="M18" s="174"/>
      <c r="N18" s="174" t="s">
        <v>371</v>
      </c>
      <c r="O18" s="174"/>
      <c r="P18" s="161"/>
      <c r="Q18" s="108"/>
      <c r="R18" s="108"/>
      <c r="S18" s="108"/>
      <c r="T18" s="108"/>
    </row>
    <row r="19" spans="2:20" ht="16.5" customHeight="1" x14ac:dyDescent="0.25">
      <c r="B19" s="217"/>
      <c r="C19" s="4"/>
      <c r="D19" s="251"/>
      <c r="E19" s="251"/>
      <c r="F19" s="251"/>
      <c r="G19" s="251"/>
      <c r="H19" s="251"/>
      <c r="I19" s="251"/>
      <c r="J19" s="251"/>
      <c r="K19" s="251"/>
      <c r="L19" s="252"/>
      <c r="M19" s="174"/>
      <c r="N19" s="264" t="e">
        <f>(K16-N17)/N17</f>
        <v>#DIV/0!</v>
      </c>
      <c r="O19" s="174"/>
      <c r="P19" s="161"/>
      <c r="Q19" s="108"/>
      <c r="R19" s="108"/>
      <c r="S19" s="108"/>
      <c r="T19" s="108"/>
    </row>
  </sheetData>
  <mergeCells count="9">
    <mergeCell ref="C16:C17"/>
    <mergeCell ref="D16:F17"/>
    <mergeCell ref="G16:J17"/>
    <mergeCell ref="K16:K17"/>
    <mergeCell ref="C4:L4"/>
    <mergeCell ref="C5:C7"/>
    <mergeCell ref="D5:F6"/>
    <mergeCell ref="G5:J6"/>
    <mergeCell ref="K5:L6"/>
  </mergeCells>
  <conditionalFormatting sqref="M8:M15">
    <cfRule type="cellIs" dxfId="2" priority="54" operator="equal">
      <formula>"-"</formula>
    </cfRule>
    <cfRule type="cellIs" dxfId="1" priority="55" operator="lessThanOrEqual">
      <formula>0</formula>
    </cfRule>
    <cfRule type="cellIs" dxfId="0" priority="56" operator="greaterThan">
      <formula>0</formula>
    </cfRule>
  </conditionalFormatting>
  <pageMargins left="0.7" right="0.7" top="0.75" bottom="0.75" header="0.55000000000000004" footer="0.3"/>
  <pageSetup scale="50" orientation="landscape" r:id="rId1"/>
  <headerFooter alignWithMargins="0">
    <oddHeader>&amp;L
&amp;R&amp;G</oddHeader>
  </headerFooter>
  <ignoredErrors>
    <ignoredError sqref="K15 K17" formula="1"/>
    <ignoredError sqref="K9 K13 K11 K12 K10 K14" evalError="1" formula="1"/>
    <ignoredError sqref="D16 K8" evalError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A1:E40"/>
  <sheetViews>
    <sheetView tabSelected="1" zoomScale="80" zoomScaleNormal="80" workbookViewId="0">
      <selection activeCell="C3" sqref="C3:E38"/>
    </sheetView>
  </sheetViews>
  <sheetFormatPr defaultRowHeight="15" x14ac:dyDescent="0.25"/>
  <cols>
    <col min="2" max="2" width="27.28515625" bestFit="1" customWidth="1"/>
    <col min="3" max="3" width="15.140625" bestFit="1" customWidth="1"/>
    <col min="4" max="4" width="17.28515625" bestFit="1" customWidth="1"/>
    <col min="5" max="5" width="27.7109375" bestFit="1" customWidth="1"/>
  </cols>
  <sheetData>
    <row r="1" spans="1:5" x14ac:dyDescent="0.25">
      <c r="A1" t="s">
        <v>282</v>
      </c>
      <c r="B1" t="s">
        <v>378</v>
      </c>
      <c r="C1" t="s">
        <v>283</v>
      </c>
      <c r="D1" t="s">
        <v>284</v>
      </c>
      <c r="E1" t="s">
        <v>285</v>
      </c>
    </row>
    <row r="2" spans="1:5" x14ac:dyDescent="0.25">
      <c r="A2" t="s">
        <v>383</v>
      </c>
      <c r="C2" t="s">
        <v>384</v>
      </c>
      <c r="D2" t="s">
        <v>384</v>
      </c>
      <c r="E2" t="s">
        <v>384</v>
      </c>
    </row>
    <row r="3" spans="1:5" x14ac:dyDescent="0.25">
      <c r="A3">
        <v>5</v>
      </c>
      <c r="B3" t="s">
        <v>286</v>
      </c>
    </row>
    <row r="4" spans="1:5" x14ac:dyDescent="0.25">
      <c r="A4">
        <v>8</v>
      </c>
      <c r="B4" t="s">
        <v>287</v>
      </c>
    </row>
    <row r="5" spans="1:5" x14ac:dyDescent="0.25">
      <c r="A5">
        <v>9</v>
      </c>
      <c r="B5" t="s">
        <v>288</v>
      </c>
    </row>
    <row r="6" spans="1:5" x14ac:dyDescent="0.25">
      <c r="A6">
        <v>10</v>
      </c>
      <c r="B6" t="s">
        <v>289</v>
      </c>
    </row>
    <row r="7" spans="1:5" x14ac:dyDescent="0.25">
      <c r="A7">
        <v>11</v>
      </c>
      <c r="B7" t="s">
        <v>290</v>
      </c>
    </row>
    <row r="8" spans="1:5" x14ac:dyDescent="0.25">
      <c r="A8">
        <v>13</v>
      </c>
      <c r="B8" t="s">
        <v>291</v>
      </c>
    </row>
    <row r="9" spans="1:5" x14ac:dyDescent="0.25">
      <c r="A9">
        <v>14</v>
      </c>
      <c r="B9" t="s">
        <v>292</v>
      </c>
    </row>
    <row r="10" spans="1:5" x14ac:dyDescent="0.25">
      <c r="A10">
        <v>15</v>
      </c>
      <c r="B10" t="s">
        <v>293</v>
      </c>
    </row>
    <row r="11" spans="1:5" x14ac:dyDescent="0.25">
      <c r="A11">
        <v>16</v>
      </c>
      <c r="B11" t="s">
        <v>325</v>
      </c>
    </row>
    <row r="12" spans="1:5" x14ac:dyDescent="0.25">
      <c r="A12">
        <v>18</v>
      </c>
      <c r="B12" t="s">
        <v>294</v>
      </c>
    </row>
    <row r="13" spans="1:5" x14ac:dyDescent="0.25">
      <c r="A13">
        <v>19</v>
      </c>
      <c r="B13" t="s">
        <v>295</v>
      </c>
    </row>
    <row r="14" spans="1:5" x14ac:dyDescent="0.25">
      <c r="A14">
        <v>22</v>
      </c>
      <c r="B14" t="s">
        <v>296</v>
      </c>
    </row>
    <row r="15" spans="1:5" x14ac:dyDescent="0.25">
      <c r="A15">
        <v>23</v>
      </c>
      <c r="B15" t="s">
        <v>297</v>
      </c>
    </row>
    <row r="16" spans="1:5" x14ac:dyDescent="0.25">
      <c r="A16">
        <v>24</v>
      </c>
      <c r="B16" t="s">
        <v>298</v>
      </c>
    </row>
    <row r="17" spans="1:2" x14ac:dyDescent="0.25">
      <c r="A17">
        <v>25</v>
      </c>
      <c r="B17" t="s">
        <v>299</v>
      </c>
    </row>
    <row r="18" spans="1:2" x14ac:dyDescent="0.25">
      <c r="A18">
        <v>27</v>
      </c>
      <c r="B18" t="s">
        <v>300</v>
      </c>
    </row>
    <row r="19" spans="1:2" x14ac:dyDescent="0.25">
      <c r="A19">
        <v>28</v>
      </c>
      <c r="B19" t="s">
        <v>301</v>
      </c>
    </row>
    <row r="20" spans="1:2" x14ac:dyDescent="0.25">
      <c r="A20">
        <v>29</v>
      </c>
      <c r="B20" t="s">
        <v>302</v>
      </c>
    </row>
    <row r="21" spans="1:2" x14ac:dyDescent="0.25">
      <c r="A21">
        <v>30</v>
      </c>
      <c r="B21" t="s">
        <v>303</v>
      </c>
    </row>
    <row r="22" spans="1:2" x14ac:dyDescent="0.25">
      <c r="A22">
        <v>31</v>
      </c>
      <c r="B22" t="s">
        <v>304</v>
      </c>
    </row>
    <row r="23" spans="1:2" x14ac:dyDescent="0.25">
      <c r="A23">
        <v>32</v>
      </c>
      <c r="B23" t="s">
        <v>305</v>
      </c>
    </row>
    <row r="24" spans="1:2" x14ac:dyDescent="0.25">
      <c r="A24">
        <v>33</v>
      </c>
      <c r="B24" t="s">
        <v>306</v>
      </c>
    </row>
    <row r="25" spans="1:2" x14ac:dyDescent="0.25">
      <c r="A25">
        <v>35</v>
      </c>
      <c r="B25" t="s">
        <v>307</v>
      </c>
    </row>
    <row r="26" spans="1:2" x14ac:dyDescent="0.25">
      <c r="A26">
        <v>36</v>
      </c>
      <c r="B26" t="s">
        <v>308</v>
      </c>
    </row>
    <row r="27" spans="1:2" x14ac:dyDescent="0.25">
      <c r="A27">
        <v>37</v>
      </c>
      <c r="B27" t="s">
        <v>309</v>
      </c>
    </row>
    <row r="28" spans="1:2" x14ac:dyDescent="0.25">
      <c r="A28">
        <v>38</v>
      </c>
      <c r="B28" t="s">
        <v>310</v>
      </c>
    </row>
    <row r="29" spans="1:2" x14ac:dyDescent="0.25">
      <c r="A29">
        <v>39</v>
      </c>
      <c r="B29" t="s">
        <v>311</v>
      </c>
    </row>
    <row r="30" spans="1:2" x14ac:dyDescent="0.25">
      <c r="A30">
        <v>50</v>
      </c>
      <c r="B30" t="s">
        <v>312</v>
      </c>
    </row>
    <row r="31" spans="1:2" x14ac:dyDescent="0.25">
      <c r="A31">
        <v>54</v>
      </c>
      <c r="B31" t="s">
        <v>313</v>
      </c>
    </row>
    <row r="32" spans="1:2" x14ac:dyDescent="0.25">
      <c r="A32">
        <v>55</v>
      </c>
      <c r="B32" t="s">
        <v>314</v>
      </c>
    </row>
    <row r="33" spans="1:2" x14ac:dyDescent="0.25">
      <c r="A33">
        <v>58</v>
      </c>
      <c r="B33" t="s">
        <v>315</v>
      </c>
    </row>
    <row r="34" spans="1:2" x14ac:dyDescent="0.25">
      <c r="A34">
        <v>60</v>
      </c>
      <c r="B34" t="s">
        <v>316</v>
      </c>
    </row>
    <row r="35" spans="1:2" x14ac:dyDescent="0.25">
      <c r="A35">
        <v>62</v>
      </c>
      <c r="B35" t="s">
        <v>317</v>
      </c>
    </row>
    <row r="36" spans="1:2" x14ac:dyDescent="0.25">
      <c r="A36">
        <v>63</v>
      </c>
      <c r="B36" t="s">
        <v>318</v>
      </c>
    </row>
    <row r="37" spans="1:2" x14ac:dyDescent="0.25">
      <c r="A37">
        <v>64</v>
      </c>
      <c r="B37" t="s">
        <v>319</v>
      </c>
    </row>
    <row r="38" spans="1:2" x14ac:dyDescent="0.25">
      <c r="A38">
        <v>65</v>
      </c>
      <c r="B38" t="s">
        <v>320</v>
      </c>
    </row>
    <row r="39" spans="1:2" x14ac:dyDescent="0.25">
      <c r="A39">
        <v>66</v>
      </c>
      <c r="B39" t="s">
        <v>321</v>
      </c>
    </row>
    <row r="40" spans="1:2" x14ac:dyDescent="0.25">
      <c r="A40">
        <v>70</v>
      </c>
      <c r="B40" t="s">
        <v>322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7030A0"/>
    <pageSetUpPr fitToPage="1"/>
  </sheetPr>
  <dimension ref="A1:Q43"/>
  <sheetViews>
    <sheetView topLeftCell="G1" workbookViewId="0">
      <selection activeCell="P14" sqref="P14"/>
    </sheetView>
  </sheetViews>
  <sheetFormatPr defaultRowHeight="15" x14ac:dyDescent="0.25"/>
  <cols>
    <col min="1" max="1" width="34.140625" hidden="1" customWidth="1"/>
    <col min="2" max="3" width="38.140625" customWidth="1"/>
    <col min="4" max="4" width="8" customWidth="1"/>
    <col min="5" max="5" width="27.28515625" customWidth="1"/>
    <col min="6" max="6" width="35.7109375" style="97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7" ht="51" customHeight="1" x14ac:dyDescent="0.35">
      <c r="A1" t="s">
        <v>127</v>
      </c>
      <c r="B1" s="10" t="s">
        <v>47</v>
      </c>
      <c r="C1" s="11"/>
      <c r="D1" s="11" t="s">
        <v>126</v>
      </c>
      <c r="E1" s="11" t="s">
        <v>117</v>
      </c>
      <c r="F1" s="94" t="s">
        <v>131</v>
      </c>
      <c r="G1" s="12" t="s">
        <v>107</v>
      </c>
      <c r="H1" s="13" t="s">
        <v>108</v>
      </c>
      <c r="I1" s="12" t="s">
        <v>115</v>
      </c>
      <c r="J1" s="14" t="s">
        <v>137</v>
      </c>
      <c r="K1" s="15" t="s">
        <v>17</v>
      </c>
      <c r="L1" s="13" t="s">
        <v>109</v>
      </c>
      <c r="M1" s="13" t="s">
        <v>110</v>
      </c>
      <c r="N1" s="13" t="s">
        <v>234</v>
      </c>
      <c r="P1" s="260" t="s">
        <v>367</v>
      </c>
    </row>
    <row r="2" spans="1:17" s="17" customFormat="1" ht="28.5" customHeight="1" x14ac:dyDescent="0.2">
      <c r="A2" s="17" t="str">
        <f>B2&amp;D2</f>
        <v>Product Entered Workflow0</v>
      </c>
      <c r="B2" s="16" t="s">
        <v>92</v>
      </c>
      <c r="C2" s="16" t="s">
        <v>112</v>
      </c>
      <c r="D2" s="16">
        <v>0</v>
      </c>
      <c r="E2" s="16"/>
      <c r="F2" s="95" t="s">
        <v>111</v>
      </c>
      <c r="G2" s="16" t="s">
        <v>111</v>
      </c>
      <c r="H2" s="16" t="s">
        <v>6</v>
      </c>
      <c r="I2" s="16" t="s">
        <v>92</v>
      </c>
      <c r="J2" s="16" t="str">
        <f>SUBSTITUTE(ADDRESS(1,MATCH(I2,'Details-Products'!$C$7:$CL$7,0),4),"1","")</f>
        <v>AL</v>
      </c>
      <c r="K2" s="16">
        <f>2+N2</f>
        <v>2</v>
      </c>
      <c r="L2" s="16">
        <v>19</v>
      </c>
      <c r="M2" s="16">
        <v>1</v>
      </c>
      <c r="N2" s="100">
        <v>0</v>
      </c>
      <c r="P2" s="16" t="s">
        <v>92</v>
      </c>
      <c r="Q2" s="17" t="s">
        <v>6</v>
      </c>
    </row>
    <row r="3" spans="1:17" s="17" customFormat="1" ht="28.5" customHeight="1" x14ac:dyDescent="0.2">
      <c r="A3" s="17" t="str">
        <f t="shared" ref="A3:A9" si="0">B3&amp;D3</f>
        <v>MAH Task Complete0</v>
      </c>
      <c r="B3" s="16" t="s">
        <v>93</v>
      </c>
      <c r="C3" s="16" t="s">
        <v>111</v>
      </c>
      <c r="D3" s="16">
        <v>0</v>
      </c>
      <c r="E3" s="16"/>
      <c r="F3" s="95" t="s">
        <v>111</v>
      </c>
      <c r="G3" s="16" t="s">
        <v>111</v>
      </c>
      <c r="H3" s="16" t="s">
        <v>6</v>
      </c>
      <c r="I3" s="16" t="s">
        <v>226</v>
      </c>
      <c r="J3" s="16" t="e">
        <f>SUBSTITUTE(ADDRESS(1,MATCH(I3,'Details-Products'!$C$7:$CL$7,0),4),"1","")</f>
        <v>#N/A</v>
      </c>
      <c r="K3" s="16">
        <f>5+N3</f>
        <v>5</v>
      </c>
      <c r="L3" s="16">
        <v>17</v>
      </c>
      <c r="M3" s="16">
        <v>1</v>
      </c>
      <c r="N3" s="100">
        <v>0</v>
      </c>
      <c r="P3" s="16" t="s">
        <v>93</v>
      </c>
      <c r="Q3" s="17" t="s">
        <v>6</v>
      </c>
    </row>
    <row r="4" spans="1:17" s="17" customFormat="1" ht="28.5" customHeight="1" x14ac:dyDescent="0.2">
      <c r="A4" s="17" t="str">
        <f t="shared" si="0"/>
        <v>Turn In Task Complete0</v>
      </c>
      <c r="B4" s="16" t="s">
        <v>91</v>
      </c>
      <c r="C4" s="16" t="s">
        <v>113</v>
      </c>
      <c r="D4" s="16">
        <v>0</v>
      </c>
      <c r="E4" s="16"/>
      <c r="F4" s="95" t="s">
        <v>113</v>
      </c>
      <c r="G4" s="16"/>
      <c r="H4" s="16" t="s">
        <v>6</v>
      </c>
      <c r="I4" s="16" t="s">
        <v>23</v>
      </c>
      <c r="J4" s="16" t="str">
        <f>SUBSTITUTE(ADDRESS(1,MATCH(I4,'Details-Products'!$C$7:$CL$7,0),4),"1","")</f>
        <v>AT</v>
      </c>
      <c r="K4" s="16">
        <f>2+N4</f>
        <v>2</v>
      </c>
      <c r="L4" s="16">
        <v>12</v>
      </c>
      <c r="M4" s="16">
        <v>1</v>
      </c>
      <c r="N4" s="100">
        <v>0</v>
      </c>
      <c r="P4" s="16" t="s">
        <v>91</v>
      </c>
      <c r="Q4" s="17" t="s">
        <v>11</v>
      </c>
    </row>
    <row r="5" spans="1:17" s="17" customFormat="1" ht="28.5" customHeight="1" x14ac:dyDescent="0.25">
      <c r="A5" s="17" t="str">
        <f t="shared" si="0"/>
        <v>Studio Sample Received Check Complete0</v>
      </c>
      <c r="B5" t="s">
        <v>96</v>
      </c>
      <c r="C5" s="16" t="s">
        <v>113</v>
      </c>
      <c r="D5" s="20">
        <v>0</v>
      </c>
      <c r="E5" s="16"/>
      <c r="F5" s="95" t="s">
        <v>113</v>
      </c>
      <c r="G5" s="16"/>
      <c r="H5" s="16" t="s">
        <v>6</v>
      </c>
      <c r="I5" s="16" t="s">
        <v>23</v>
      </c>
      <c r="J5" s="16" t="str">
        <f>SUBSTITUTE(ADDRESS(1,MATCH(I5,'Details-Products'!$C$7:$CL$7,0),4),"1","")</f>
        <v>AT</v>
      </c>
      <c r="K5" s="16">
        <f>2+N5</f>
        <v>2</v>
      </c>
      <c r="L5" s="16">
        <v>12</v>
      </c>
      <c r="M5" s="16">
        <v>1</v>
      </c>
      <c r="N5" s="100">
        <v>0</v>
      </c>
      <c r="P5" s="16" t="s">
        <v>96</v>
      </c>
      <c r="Q5" s="17" t="s">
        <v>11</v>
      </c>
    </row>
    <row r="6" spans="1:17" s="17" customFormat="1" ht="28.5" customHeight="1" x14ac:dyDescent="0.2">
      <c r="A6" s="17" t="str">
        <f t="shared" si="0"/>
        <v>Copy Attributes Task Complete0</v>
      </c>
      <c r="B6" s="18" t="s">
        <v>90</v>
      </c>
      <c r="C6" s="16" t="s">
        <v>116</v>
      </c>
      <c r="D6" s="18">
        <v>0</v>
      </c>
      <c r="E6" s="18" t="s">
        <v>120</v>
      </c>
      <c r="F6" s="95" t="s">
        <v>116</v>
      </c>
      <c r="G6" s="16" t="s">
        <v>3</v>
      </c>
      <c r="H6" s="16" t="s">
        <v>7</v>
      </c>
      <c r="I6" s="16" t="s">
        <v>227</v>
      </c>
      <c r="J6" s="16" t="e">
        <f>SUBSTITUTE(ADDRESS(1,MATCH(I6,'Details-Products'!$C$7:$CL$7,0),4),"1","")</f>
        <v>#N/A</v>
      </c>
      <c r="K6" s="16">
        <f>4+N6</f>
        <v>4</v>
      </c>
      <c r="L6" s="16">
        <v>10</v>
      </c>
      <c r="M6" s="16">
        <v>1</v>
      </c>
      <c r="N6" s="100">
        <v>0</v>
      </c>
      <c r="P6" s="16" t="s">
        <v>90</v>
      </c>
      <c r="Q6" s="17" t="s">
        <v>11</v>
      </c>
    </row>
    <row r="7" spans="1:17" s="17" customFormat="1" ht="28.5" customHeight="1" x14ac:dyDescent="0.2">
      <c r="A7" s="17" t="str">
        <f t="shared" si="0"/>
        <v>Copy Attributes Task Complete1</v>
      </c>
      <c r="B7" s="16" t="s">
        <v>90</v>
      </c>
      <c r="C7" s="16" t="s">
        <v>114</v>
      </c>
      <c r="D7" s="16">
        <v>1</v>
      </c>
      <c r="E7" s="16" t="s">
        <v>121</v>
      </c>
      <c r="F7" s="95" t="s">
        <v>114</v>
      </c>
      <c r="G7" s="16"/>
      <c r="H7" s="16" t="s">
        <v>2</v>
      </c>
      <c r="I7" s="16" t="s">
        <v>233</v>
      </c>
      <c r="J7" s="16" t="e">
        <f>SUBSTITUTE(ADDRESS(1,MATCH(I7,'Details-Products'!$C$7:$CL$7,0),4),"1","")</f>
        <v>#N/A</v>
      </c>
      <c r="K7" s="16">
        <f>2+N7</f>
        <v>2</v>
      </c>
      <c r="L7" s="16">
        <v>3</v>
      </c>
      <c r="M7" s="16">
        <v>1</v>
      </c>
      <c r="N7" s="100">
        <v>0</v>
      </c>
      <c r="P7" s="16" t="s">
        <v>90</v>
      </c>
      <c r="Q7" s="17" t="s">
        <v>4</v>
      </c>
    </row>
    <row r="8" spans="1:17" s="17" customFormat="1" ht="28.5" customHeight="1" x14ac:dyDescent="0.2">
      <c r="A8" s="17" t="str">
        <f t="shared" si="0"/>
        <v>Final Copy Task Complete0</v>
      </c>
      <c r="B8" s="18" t="s">
        <v>94</v>
      </c>
      <c r="C8" s="16" t="s">
        <v>119</v>
      </c>
      <c r="D8" s="18">
        <v>0</v>
      </c>
      <c r="E8" s="18" t="s">
        <v>118</v>
      </c>
      <c r="F8" s="95" t="s">
        <v>119</v>
      </c>
      <c r="G8" s="16" t="s">
        <v>11</v>
      </c>
      <c r="H8" s="16" t="s">
        <v>11</v>
      </c>
      <c r="I8" s="16" t="s">
        <v>228</v>
      </c>
      <c r="J8" s="16" t="e">
        <f>SUBSTITUTE(ADDRESS(1,MATCH(I8,'Details-Products'!$C$7:$CL$7,0),4),"1","")</f>
        <v>#N/A</v>
      </c>
      <c r="K8" s="16">
        <f>3+N8</f>
        <v>3</v>
      </c>
      <c r="L8" s="16">
        <v>6</v>
      </c>
      <c r="M8" s="16">
        <v>1</v>
      </c>
      <c r="N8" s="100">
        <v>0</v>
      </c>
      <c r="P8" s="16" t="s">
        <v>94</v>
      </c>
      <c r="Q8" s="17" t="s">
        <v>11</v>
      </c>
    </row>
    <row r="9" spans="1:17" s="17" customFormat="1" ht="28.5" customHeight="1" x14ac:dyDescent="0.2">
      <c r="A9" s="17" t="str">
        <f t="shared" si="0"/>
        <v>Final Copy Task Complete1</v>
      </c>
      <c r="B9" s="16" t="s">
        <v>94</v>
      </c>
      <c r="C9" s="16" t="s">
        <v>133</v>
      </c>
      <c r="D9" s="16">
        <v>1</v>
      </c>
      <c r="E9" s="16" t="s">
        <v>118</v>
      </c>
      <c r="F9" s="95" t="s">
        <v>133</v>
      </c>
      <c r="G9" s="16"/>
      <c r="H9" s="16" t="s">
        <v>4</v>
      </c>
      <c r="I9" s="16" t="s">
        <v>229</v>
      </c>
      <c r="J9" s="16" t="e">
        <f>SUBSTITUTE(ADDRESS(1,MATCH(I9,'Details-Products'!$C$7:$CL$7,0),4),"1","")</f>
        <v>#N/A</v>
      </c>
      <c r="K9" s="16">
        <f t="shared" ref="K9:K15" si="1">2+N9</f>
        <v>2</v>
      </c>
      <c r="L9" s="16">
        <v>1</v>
      </c>
      <c r="M9" s="16">
        <v>1</v>
      </c>
      <c r="N9" s="100">
        <v>0</v>
      </c>
      <c r="P9" s="16" t="s">
        <v>94</v>
      </c>
      <c r="Q9" s="17" t="s">
        <v>4</v>
      </c>
    </row>
    <row r="10" spans="1:17" x14ac:dyDescent="0.25">
      <c r="B10" s="16" t="s">
        <v>95</v>
      </c>
      <c r="C10" s="16" t="str">
        <f>B10</f>
        <v>Fur Attributes Task Complete</v>
      </c>
      <c r="D10" s="16"/>
      <c r="E10" s="16" t="s">
        <v>0</v>
      </c>
      <c r="F10" s="95" t="s">
        <v>114</v>
      </c>
      <c r="G10" s="16"/>
      <c r="H10" s="16" t="s">
        <v>2</v>
      </c>
      <c r="I10" s="16" t="s">
        <v>55</v>
      </c>
      <c r="J10" s="16" t="str">
        <f>SUBSTITUTE(ADDRESS(1,MATCH(I10,'Details-Products'!$C$7:$CL$7,0),4),"1","")</f>
        <v>AZ</v>
      </c>
      <c r="K10" s="16">
        <f t="shared" si="1"/>
        <v>2</v>
      </c>
      <c r="L10" s="16">
        <v>3</v>
      </c>
      <c r="M10" s="16">
        <v>1</v>
      </c>
      <c r="N10" s="100">
        <v>0</v>
      </c>
      <c r="P10" s="16" t="s">
        <v>95</v>
      </c>
      <c r="Q10" s="17" t="s">
        <v>6</v>
      </c>
    </row>
    <row r="11" spans="1:17" x14ac:dyDescent="0.25">
      <c r="B11" s="16" t="s">
        <v>167</v>
      </c>
      <c r="C11" s="16" t="str">
        <f t="shared" ref="C11:C20" si="2">B11</f>
        <v>Translation Task Complete</v>
      </c>
      <c r="D11" s="16"/>
      <c r="E11" s="16"/>
      <c r="F11" s="95" t="s">
        <v>133</v>
      </c>
      <c r="G11" s="16"/>
      <c r="H11" s="16" t="s">
        <v>4</v>
      </c>
      <c r="I11" s="16" t="s">
        <v>53</v>
      </c>
      <c r="J11" s="16" t="str">
        <f>SUBSTITUTE(ADDRESS(1,MATCH(I11,'Details-Products'!$C$7:$CL$7,0),4),"1","")</f>
        <v>BB</v>
      </c>
      <c r="K11" s="16">
        <f t="shared" si="1"/>
        <v>2</v>
      </c>
      <c r="L11" s="16">
        <v>1</v>
      </c>
      <c r="M11" s="16">
        <v>1</v>
      </c>
      <c r="N11" s="100">
        <v>0</v>
      </c>
      <c r="P11" s="16" t="s">
        <v>167</v>
      </c>
      <c r="Q11" s="17" t="s">
        <v>4</v>
      </c>
    </row>
    <row r="12" spans="1:17" x14ac:dyDescent="0.25">
      <c r="B12" s="16" t="s">
        <v>168</v>
      </c>
      <c r="C12" s="16" t="str">
        <f t="shared" si="2"/>
        <v>Item Set Up Task Complete</v>
      </c>
      <c r="D12" s="16"/>
      <c r="E12" s="16"/>
      <c r="F12" s="95" t="s">
        <v>170</v>
      </c>
      <c r="G12" s="16"/>
      <c r="H12" s="16" t="s">
        <v>4</v>
      </c>
      <c r="I12" s="16" t="s">
        <v>56</v>
      </c>
      <c r="J12" s="16" t="str">
        <f>SUBSTITUTE(ADDRESS(1,MATCH(I12,'Details-Products'!$C$7:$CL$7,0),4),"1","")</f>
        <v>BD</v>
      </c>
      <c r="K12" s="16">
        <f t="shared" si="1"/>
        <v>2</v>
      </c>
      <c r="L12" s="16">
        <v>1</v>
      </c>
      <c r="M12" s="16">
        <v>1</v>
      </c>
      <c r="N12" s="100">
        <v>0</v>
      </c>
      <c r="P12" s="16" t="s">
        <v>168</v>
      </c>
      <c r="Q12" s="17" t="s">
        <v>4</v>
      </c>
    </row>
    <row r="13" spans="1:17" x14ac:dyDescent="0.25">
      <c r="B13" s="16" t="s">
        <v>169</v>
      </c>
      <c r="C13" s="16" t="str">
        <f t="shared" si="2"/>
        <v>Fur Approval Task Complete</v>
      </c>
      <c r="D13" s="16"/>
      <c r="E13" s="16"/>
      <c r="F13" s="95" t="s">
        <v>170</v>
      </c>
      <c r="G13" s="16"/>
      <c r="H13" s="16" t="s">
        <v>4</v>
      </c>
      <c r="I13" s="16" t="s">
        <v>56</v>
      </c>
      <c r="J13" s="16" t="str">
        <f>SUBSTITUTE(ADDRESS(1,MATCH(I13,'Details-Products'!$C$7:$CL$7,0),4),"1","")</f>
        <v>BD</v>
      </c>
      <c r="K13" s="16">
        <f t="shared" si="1"/>
        <v>2</v>
      </c>
      <c r="L13" s="16">
        <v>1</v>
      </c>
      <c r="M13" s="16">
        <v>1</v>
      </c>
      <c r="N13" s="100">
        <v>0</v>
      </c>
      <c r="P13" s="16" t="s">
        <v>169</v>
      </c>
      <c r="Q13" s="17" t="s">
        <v>4</v>
      </c>
    </row>
    <row r="14" spans="1:17" x14ac:dyDescent="0.25">
      <c r="B14" s="16" t="s">
        <v>170</v>
      </c>
      <c r="C14" s="16" t="str">
        <f t="shared" si="2"/>
        <v>Workflow Complete</v>
      </c>
      <c r="D14" s="16"/>
      <c r="E14" s="16"/>
      <c r="F14" s="95" t="s">
        <v>170</v>
      </c>
      <c r="G14" s="16"/>
      <c r="H14" s="16" t="s">
        <v>4</v>
      </c>
      <c r="I14" s="16" t="s">
        <v>56</v>
      </c>
      <c r="J14" s="16" t="str">
        <f>SUBSTITUTE(ADDRESS(1,MATCH(I14,'Details-Products'!$C$7:$CL$7,0),4),"1","")</f>
        <v>BD</v>
      </c>
      <c r="K14" s="16">
        <f t="shared" si="1"/>
        <v>2</v>
      </c>
      <c r="L14" s="16">
        <v>1</v>
      </c>
      <c r="M14" s="16">
        <v>1</v>
      </c>
      <c r="N14" s="100">
        <v>0</v>
      </c>
      <c r="P14" s="16" t="s">
        <v>170</v>
      </c>
      <c r="Q14" s="17" t="s">
        <v>6</v>
      </c>
    </row>
    <row r="15" spans="1:17" x14ac:dyDescent="0.25">
      <c r="B15" s="16" t="s">
        <v>171</v>
      </c>
      <c r="C15" s="16" t="str">
        <f t="shared" si="2"/>
        <v>Fur Workflow Complete</v>
      </c>
      <c r="D15" s="16"/>
      <c r="E15" s="16"/>
      <c r="F15" s="95" t="s">
        <v>170</v>
      </c>
      <c r="G15" s="16"/>
      <c r="H15" s="16" t="s">
        <v>4</v>
      </c>
      <c r="I15" s="16" t="s">
        <v>56</v>
      </c>
      <c r="J15" s="16" t="str">
        <f>SUBSTITUTE(ADDRESS(1,MATCH(I15,'Details-Products'!$C$7:$CL$7,0),4),"1","")</f>
        <v>BD</v>
      </c>
      <c r="K15" s="16">
        <f t="shared" si="1"/>
        <v>2</v>
      </c>
      <c r="L15" s="16">
        <v>1</v>
      </c>
      <c r="M15" s="16">
        <v>1</v>
      </c>
      <c r="N15" s="100">
        <v>0</v>
      </c>
      <c r="P15" s="16" t="s">
        <v>171</v>
      </c>
      <c r="Q15" s="17" t="s">
        <v>4</v>
      </c>
    </row>
    <row r="16" spans="1:17" x14ac:dyDescent="0.25">
      <c r="B16" s="66" t="s">
        <v>218</v>
      </c>
      <c r="C16" s="16" t="str">
        <f t="shared" si="2"/>
        <v>Rollup Product Workflow</v>
      </c>
      <c r="D16" s="16"/>
      <c r="E16" s="16"/>
      <c r="F16" s="96" t="str">
        <f>B16</f>
        <v>Rollup Product Workflow</v>
      </c>
      <c r="G16" s="1"/>
      <c r="H16" s="16" t="s">
        <v>4</v>
      </c>
      <c r="I16" s="16" t="s">
        <v>0</v>
      </c>
      <c r="J16" s="1" t="s">
        <v>0</v>
      </c>
      <c r="K16" s="1"/>
      <c r="L16" s="1"/>
      <c r="M16" s="1">
        <v>1</v>
      </c>
      <c r="N16" s="100">
        <v>0</v>
      </c>
      <c r="P16" s="16" t="s">
        <v>218</v>
      </c>
      <c r="Q16" s="17" t="s">
        <v>4</v>
      </c>
    </row>
    <row r="17" spans="2:17" x14ac:dyDescent="0.25">
      <c r="B17" s="66" t="s">
        <v>201</v>
      </c>
      <c r="C17" s="16" t="str">
        <f t="shared" si="2"/>
        <v>C-Status</v>
      </c>
      <c r="D17" s="16"/>
      <c r="E17" s="16"/>
      <c r="F17" s="96" t="str">
        <f>B17</f>
        <v>C-Status</v>
      </c>
      <c r="G17" s="1"/>
      <c r="H17" s="16" t="s">
        <v>1</v>
      </c>
      <c r="I17" s="16"/>
      <c r="J17" s="16"/>
      <c r="K17" s="16"/>
      <c r="L17" s="1"/>
      <c r="M17" s="1">
        <v>0</v>
      </c>
      <c r="N17" s="100">
        <v>0</v>
      </c>
      <c r="P17" s="16" t="s">
        <v>201</v>
      </c>
      <c r="Q17" s="17" t="s">
        <v>1</v>
      </c>
    </row>
    <row r="18" spans="2:17" x14ac:dyDescent="0.25">
      <c r="B18" s="66" t="s">
        <v>202</v>
      </c>
      <c r="C18" s="16" t="str">
        <f t="shared" si="2"/>
        <v>Sell off</v>
      </c>
      <c r="D18" s="16"/>
      <c r="E18" s="16"/>
      <c r="F18" s="96" t="str">
        <f>B18</f>
        <v>Sell off</v>
      </c>
      <c r="G18" s="1"/>
      <c r="H18" s="16" t="s">
        <v>1</v>
      </c>
      <c r="I18" s="1"/>
      <c r="J18" s="16"/>
      <c r="K18" s="1"/>
      <c r="L18" s="1"/>
      <c r="M18" s="1">
        <v>0</v>
      </c>
      <c r="N18" s="100">
        <v>0</v>
      </c>
      <c r="P18" s="16" t="s">
        <v>202</v>
      </c>
      <c r="Q18" s="17" t="s">
        <v>1</v>
      </c>
    </row>
    <row r="19" spans="2:17" x14ac:dyDescent="0.25">
      <c r="B19" s="66" t="s">
        <v>185</v>
      </c>
      <c r="C19" s="16" t="str">
        <f t="shared" si="2"/>
        <v>Not Flagged for eCOM</v>
      </c>
      <c r="D19" s="16"/>
      <c r="E19" s="16"/>
      <c r="F19" s="96" t="str">
        <f>B19</f>
        <v>Not Flagged for eCOM</v>
      </c>
      <c r="G19" s="1"/>
      <c r="H19" s="16" t="s">
        <v>1</v>
      </c>
      <c r="I19" s="1"/>
      <c r="J19" s="16"/>
      <c r="K19" s="1"/>
      <c r="L19" s="1"/>
      <c r="M19" s="1">
        <v>1</v>
      </c>
      <c r="N19" s="100">
        <v>0</v>
      </c>
      <c r="P19" s="16" t="s">
        <v>185</v>
      </c>
      <c r="Q19" s="17" t="s">
        <v>1</v>
      </c>
    </row>
    <row r="20" spans="2:17" x14ac:dyDescent="0.25">
      <c r="B20" s="66" t="s">
        <v>209</v>
      </c>
      <c r="C20" s="16" t="str">
        <f t="shared" si="2"/>
        <v>Exception</v>
      </c>
      <c r="D20" s="16"/>
      <c r="E20" s="16"/>
      <c r="F20" s="96" t="str">
        <f>B20</f>
        <v>Exception</v>
      </c>
      <c r="G20" s="1"/>
      <c r="H20" s="16" t="s">
        <v>1</v>
      </c>
      <c r="I20" s="1"/>
      <c r="J20" s="16"/>
      <c r="K20" s="1"/>
      <c r="L20" s="1"/>
      <c r="M20" s="1">
        <v>0</v>
      </c>
      <c r="N20" s="100">
        <v>0</v>
      </c>
      <c r="P20" s="16" t="s">
        <v>209</v>
      </c>
      <c r="Q20" s="17" t="s">
        <v>1</v>
      </c>
    </row>
    <row r="21" spans="2:17" x14ac:dyDescent="0.25">
      <c r="B21" s="71">
        <v>0</v>
      </c>
      <c r="C21" s="71">
        <v>0</v>
      </c>
      <c r="D21" s="1"/>
      <c r="E21" s="1"/>
      <c r="F21" s="96" t="s">
        <v>210</v>
      </c>
      <c r="G21" s="1"/>
      <c r="H21" s="72" t="s">
        <v>6</v>
      </c>
      <c r="I21" s="1" t="s">
        <v>222</v>
      </c>
      <c r="J21" s="16" t="e">
        <f>SUBSTITUTE(ADDRESS(1,MATCH(I21,'Details-Products'!$C$7:$CL$7,0),4),"1","")</f>
        <v>#N/A</v>
      </c>
      <c r="K21" s="16">
        <f>2+N21</f>
        <v>2</v>
      </c>
      <c r="L21" s="1"/>
      <c r="M21" s="1">
        <v>1</v>
      </c>
      <c r="N21" s="100">
        <v>0</v>
      </c>
      <c r="P21" s="16" t="s">
        <v>210</v>
      </c>
      <c r="Q21" s="17" t="s">
        <v>6</v>
      </c>
    </row>
    <row r="22" spans="2:17" ht="15.75" x14ac:dyDescent="0.25">
      <c r="B22" s="19"/>
      <c r="C22" s="22" t="s">
        <v>237</v>
      </c>
      <c r="F22" s="97" t="s">
        <v>238</v>
      </c>
      <c r="P22" s="16" t="s">
        <v>366</v>
      </c>
      <c r="Q22" s="17" t="s">
        <v>4</v>
      </c>
    </row>
    <row r="23" spans="2:17" ht="15.75" x14ac:dyDescent="0.25">
      <c r="B23" s="19"/>
      <c r="C23" s="22"/>
    </row>
    <row r="24" spans="2:17" ht="15.75" x14ac:dyDescent="0.25">
      <c r="B24" s="19"/>
      <c r="C24" s="22"/>
    </row>
    <row r="25" spans="2:17" ht="52.5" customHeight="1" x14ac:dyDescent="0.35">
      <c r="B25" s="19"/>
      <c r="C25" s="22"/>
      <c r="H25" s="7" t="s">
        <v>63</v>
      </c>
      <c r="I25" s="7"/>
      <c r="J25" s="7"/>
      <c r="K25" s="7" t="s">
        <v>64</v>
      </c>
      <c r="L25" s="8" t="s">
        <v>65</v>
      </c>
      <c r="M25" s="7" t="s">
        <v>98</v>
      </c>
      <c r="N25" s="7" t="s">
        <v>67</v>
      </c>
      <c r="O25" s="7"/>
      <c r="P25" s="7"/>
    </row>
    <row r="26" spans="2:17" ht="15.75" x14ac:dyDescent="0.25">
      <c r="C26" s="22"/>
      <c r="H26" t="s">
        <v>14</v>
      </c>
      <c r="K26" t="s">
        <v>99</v>
      </c>
      <c r="L26" t="s">
        <v>18</v>
      </c>
      <c r="M26" t="s">
        <v>97</v>
      </c>
      <c r="N26" t="s">
        <v>79</v>
      </c>
    </row>
    <row r="27" spans="2:17" ht="15.75" x14ac:dyDescent="0.25">
      <c r="C27" s="22"/>
      <c r="H27" t="s">
        <v>30</v>
      </c>
      <c r="K27" t="s">
        <v>22</v>
      </c>
      <c r="L27" t="s">
        <v>19</v>
      </c>
      <c r="M27" t="s">
        <v>82</v>
      </c>
      <c r="N27" t="s">
        <v>80</v>
      </c>
    </row>
    <row r="28" spans="2:17" ht="15.75" x14ac:dyDescent="0.25">
      <c r="C28" s="22"/>
      <c r="H28" t="s">
        <v>25</v>
      </c>
      <c r="K28" t="s">
        <v>40</v>
      </c>
      <c r="L28" t="s">
        <v>33</v>
      </c>
      <c r="M28" t="s">
        <v>0</v>
      </c>
      <c r="N28" t="s">
        <v>81</v>
      </c>
    </row>
    <row r="29" spans="2:17" ht="15.75" x14ac:dyDescent="0.25">
      <c r="C29" s="22"/>
      <c r="H29" t="s">
        <v>26</v>
      </c>
      <c r="K29" t="s">
        <v>21</v>
      </c>
      <c r="L29" t="s">
        <v>20</v>
      </c>
      <c r="M29" t="s">
        <v>0</v>
      </c>
      <c r="N29" t="s">
        <v>58</v>
      </c>
    </row>
    <row r="30" spans="2:17" ht="15.75" x14ac:dyDescent="0.25">
      <c r="C30" s="22"/>
      <c r="H30" t="s">
        <v>27</v>
      </c>
      <c r="K30" t="s">
        <v>35</v>
      </c>
      <c r="M30" t="s">
        <v>0</v>
      </c>
      <c r="N30" t="s">
        <v>59</v>
      </c>
    </row>
    <row r="31" spans="2:17" ht="15.75" x14ac:dyDescent="0.25">
      <c r="C31" s="22"/>
      <c r="H31" t="s">
        <v>28</v>
      </c>
      <c r="K31" t="s">
        <v>31</v>
      </c>
      <c r="M31" t="s">
        <v>0</v>
      </c>
      <c r="N31" t="s">
        <v>60</v>
      </c>
    </row>
    <row r="32" spans="2:17" x14ac:dyDescent="0.25">
      <c r="H32" t="s">
        <v>29</v>
      </c>
      <c r="K32" t="s">
        <v>32</v>
      </c>
      <c r="M32" t="s">
        <v>0</v>
      </c>
      <c r="N32" t="s">
        <v>82</v>
      </c>
    </row>
    <row r="33" spans="8:14" x14ac:dyDescent="0.25">
      <c r="H33" t="s">
        <v>62</v>
      </c>
      <c r="M33" t="s">
        <v>0</v>
      </c>
    </row>
    <row r="34" spans="8:14" x14ac:dyDescent="0.25">
      <c r="H34" t="s">
        <v>34</v>
      </c>
      <c r="M34" t="s">
        <v>0</v>
      </c>
      <c r="N34" t="s">
        <v>0</v>
      </c>
    </row>
    <row r="35" spans="8:14" x14ac:dyDescent="0.25">
      <c r="H35" t="s">
        <v>36</v>
      </c>
      <c r="M35" t="s">
        <v>0</v>
      </c>
    </row>
    <row r="36" spans="8:14" x14ac:dyDescent="0.25">
      <c r="H36" t="s">
        <v>100</v>
      </c>
      <c r="M36" t="s">
        <v>0</v>
      </c>
    </row>
    <row r="37" spans="8:14" x14ac:dyDescent="0.25">
      <c r="H37" t="s">
        <v>37</v>
      </c>
      <c r="M37" t="s">
        <v>0</v>
      </c>
    </row>
    <row r="38" spans="8:14" x14ac:dyDescent="0.25">
      <c r="H38" t="s">
        <v>0</v>
      </c>
      <c r="M38" t="s">
        <v>0</v>
      </c>
    </row>
    <row r="39" spans="8:14" x14ac:dyDescent="0.25">
      <c r="H39" t="s">
        <v>0</v>
      </c>
      <c r="M39" t="s">
        <v>0</v>
      </c>
    </row>
    <row r="40" spans="8:14" x14ac:dyDescent="0.25">
      <c r="H40" t="s">
        <v>0</v>
      </c>
      <c r="M40" t="s">
        <v>0</v>
      </c>
    </row>
    <row r="41" spans="8:14" x14ac:dyDescent="0.25">
      <c r="H41" t="s">
        <v>0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</sheetData>
  <pageMargins left="0.7" right="0.7" top="0.75" bottom="0.75" header="0.3" footer="0.3"/>
  <pageSetup scale="3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92D050"/>
  </sheetPr>
  <dimension ref="A1:AS2"/>
  <sheetViews>
    <sheetView topLeftCell="AE1" zoomScale="90" zoomScaleNormal="90" workbookViewId="0">
      <selection activeCell="AO9" sqref="AO9"/>
    </sheetView>
  </sheetViews>
  <sheetFormatPr defaultRowHeight="15" x14ac:dyDescent="0.25"/>
  <cols>
    <col min="1" max="1" width="10.7109375" bestFit="1" customWidth="1"/>
    <col min="3" max="3" width="17.28515625" style="52" bestFit="1" customWidth="1"/>
    <col min="4" max="4" width="22.7109375" style="52" customWidth="1"/>
    <col min="8" max="8" width="34.85546875" customWidth="1"/>
    <col min="11" max="11" width="18.42578125" style="52" bestFit="1" customWidth="1"/>
    <col min="12" max="12" width="17" bestFit="1" customWidth="1"/>
    <col min="13" max="13" width="21.85546875" bestFit="1" customWidth="1"/>
    <col min="14" max="14" width="14.5703125" customWidth="1"/>
    <col min="15" max="15" width="15.5703125" customWidth="1"/>
    <col min="16" max="16" width="12.140625" bestFit="1" customWidth="1"/>
    <col min="17" max="17" width="23.28515625" style="263" bestFit="1" customWidth="1"/>
    <col min="18" max="18" width="21.85546875" style="263" bestFit="1" customWidth="1"/>
    <col min="19" max="19" width="15.28515625" bestFit="1" customWidth="1"/>
    <col min="20" max="20" width="13.85546875" bestFit="1" customWidth="1"/>
    <col min="21" max="21" width="17.5703125" bestFit="1" customWidth="1"/>
    <col min="22" max="22" width="18" bestFit="1" customWidth="1"/>
    <col min="23" max="23" width="14.7109375" bestFit="1" customWidth="1"/>
    <col min="24" max="24" width="28.85546875" bestFit="1" customWidth="1"/>
    <col min="25" max="25" width="11.28515625" bestFit="1" customWidth="1"/>
    <col min="26" max="26" width="15.5703125" bestFit="1" customWidth="1"/>
    <col min="27" max="27" width="15.7109375" bestFit="1" customWidth="1"/>
    <col min="28" max="28" width="11.7109375" bestFit="1" customWidth="1"/>
    <col min="29" max="29" width="23.5703125" bestFit="1" customWidth="1"/>
    <col min="30" max="30" width="34.42578125" bestFit="1" customWidth="1"/>
    <col min="31" max="31" width="47.85546875" bestFit="1" customWidth="1"/>
    <col min="32" max="32" width="36.140625" bestFit="1" customWidth="1"/>
    <col min="34" max="34" width="19.42578125" bestFit="1" customWidth="1"/>
    <col min="35" max="35" width="16.7109375" bestFit="1" customWidth="1"/>
    <col min="36" max="36" width="12.5703125" bestFit="1" customWidth="1"/>
    <col min="37" max="37" width="18.28515625" bestFit="1" customWidth="1"/>
    <col min="38" max="38" width="30.28515625" bestFit="1" customWidth="1"/>
    <col min="39" max="39" width="24.5703125" bestFit="1" customWidth="1"/>
    <col min="44" max="44" width="19.7109375" bestFit="1" customWidth="1"/>
    <col min="45" max="45" width="20.140625" bestFit="1" customWidth="1"/>
  </cols>
  <sheetData>
    <row r="1" spans="1:45" x14ac:dyDescent="0.25">
      <c r="A1" s="278" t="s">
        <v>379</v>
      </c>
      <c r="B1" s="278"/>
      <c r="C1" s="278"/>
      <c r="D1" s="278"/>
      <c r="E1" s="279"/>
      <c r="F1" s="279"/>
      <c r="G1" s="278"/>
      <c r="H1" s="279"/>
      <c r="I1" s="279"/>
      <c r="J1" s="279"/>
      <c r="K1" s="278"/>
      <c r="L1" s="280"/>
      <c r="M1" s="279"/>
      <c r="N1" s="281"/>
      <c r="O1" s="279"/>
      <c r="P1" s="279"/>
      <c r="Q1" s="282"/>
      <c r="R1" s="282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79"/>
      <c r="AF1" s="279"/>
      <c r="AG1" s="279"/>
      <c r="AH1" s="279"/>
      <c r="AI1" s="279"/>
      <c r="AJ1" s="279"/>
      <c r="AK1" s="279"/>
      <c r="AL1" s="279"/>
      <c r="AM1" s="279"/>
      <c r="AN1" s="279"/>
      <c r="AO1" s="279"/>
      <c r="AP1" s="279"/>
      <c r="AQ1" s="279"/>
      <c r="AR1" s="283" t="str">
        <f>(IF(AP1&lt;&gt;"","Merchants",IF(AF1&lt;&gt;"","Merchants",IF(AB1="Y","Item Setup",IF(OR(AC1="New Product",AC1="0",),"Sample Management",IFERROR(VLOOKUP(AE1,Info!$P:$Q,2,FALSE),"Sample Management"))))))</f>
        <v>Sample Management</v>
      </c>
      <c r="AS1" s="284" t="str">
        <f>IFERROR(1/COUNTIF(C:C,C1),"-")</f>
        <v>-</v>
      </c>
    </row>
    <row r="2" spans="1:45" ht="13.5" customHeight="1" x14ac:dyDescent="0.25">
      <c r="A2" s="256" t="s">
        <v>326</v>
      </c>
      <c r="B2" s="256" t="s">
        <v>241</v>
      </c>
      <c r="C2" s="257" t="s">
        <v>327</v>
      </c>
      <c r="D2" s="257" t="s">
        <v>231</v>
      </c>
      <c r="E2" s="256" t="s">
        <v>328</v>
      </c>
      <c r="F2" s="256" t="s">
        <v>329</v>
      </c>
      <c r="G2" s="256" t="s">
        <v>330</v>
      </c>
      <c r="H2" s="256" t="s">
        <v>331</v>
      </c>
      <c r="I2" s="256" t="s">
        <v>332</v>
      </c>
      <c r="J2" s="256" t="s">
        <v>333</v>
      </c>
      <c r="K2" s="257" t="s">
        <v>334</v>
      </c>
      <c r="L2" s="256" t="s">
        <v>335</v>
      </c>
      <c r="M2" s="256" t="s">
        <v>336</v>
      </c>
      <c r="N2" s="256" t="s">
        <v>337</v>
      </c>
      <c r="O2" s="256" t="s">
        <v>338</v>
      </c>
      <c r="P2" s="256" t="s">
        <v>339</v>
      </c>
      <c r="Q2" s="262" t="s">
        <v>340</v>
      </c>
      <c r="R2" s="262" t="s">
        <v>341</v>
      </c>
      <c r="S2" s="256" t="s">
        <v>342</v>
      </c>
      <c r="T2" s="256" t="s">
        <v>343</v>
      </c>
      <c r="U2" s="256" t="s">
        <v>344</v>
      </c>
      <c r="V2" s="256" t="s">
        <v>345</v>
      </c>
      <c r="W2" s="256" t="s">
        <v>346</v>
      </c>
      <c r="X2" s="256" t="s">
        <v>347</v>
      </c>
      <c r="Y2" s="256" t="s">
        <v>348</v>
      </c>
      <c r="Z2" s="256" t="s">
        <v>349</v>
      </c>
      <c r="AA2" s="256" t="s">
        <v>350</v>
      </c>
      <c r="AB2" s="256" t="s">
        <v>351</v>
      </c>
      <c r="AC2" s="256" t="s">
        <v>352</v>
      </c>
      <c r="AD2" s="256" t="s">
        <v>353</v>
      </c>
      <c r="AE2" s="256" t="s">
        <v>354</v>
      </c>
      <c r="AF2" s="256" t="s">
        <v>373</v>
      </c>
      <c r="AG2" s="256" t="s">
        <v>356</v>
      </c>
      <c r="AH2" s="256" t="s">
        <v>84</v>
      </c>
      <c r="AI2" s="256" t="s">
        <v>357</v>
      </c>
      <c r="AJ2" s="256" t="s">
        <v>358</v>
      </c>
      <c r="AK2" s="256" t="s">
        <v>359</v>
      </c>
      <c r="AL2" s="256" t="s">
        <v>103</v>
      </c>
      <c r="AM2" s="256" t="s">
        <v>360</v>
      </c>
      <c r="AN2" s="256" t="s">
        <v>361</v>
      </c>
      <c r="AO2" s="256" t="s">
        <v>372</v>
      </c>
      <c r="AP2" s="256" t="s">
        <v>355</v>
      </c>
      <c r="AQ2" s="256" t="s">
        <v>362</v>
      </c>
      <c r="AR2" s="258" t="s">
        <v>363</v>
      </c>
      <c r="AS2" s="259" t="s">
        <v>364</v>
      </c>
    </row>
  </sheetData>
  <autoFilter ref="A2:AS2" xr:uid="{00000000-0009-0000-0000-000006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C00000"/>
  </sheetPr>
  <dimension ref="A1:F2"/>
  <sheetViews>
    <sheetView workbookViewId="0">
      <selection activeCell="B2" sqref="B2"/>
    </sheetView>
  </sheetViews>
  <sheetFormatPr defaultRowHeight="15" x14ac:dyDescent="0.25"/>
  <cols>
    <col min="1" max="1" width="13.85546875" bestFit="1" customWidth="1"/>
    <col min="3" max="3" width="12.5703125" bestFit="1" customWidth="1"/>
    <col min="4" max="4" width="15" bestFit="1" customWidth="1"/>
  </cols>
  <sheetData>
    <row r="1" spans="1:6" x14ac:dyDescent="0.25">
      <c r="A1" s="272" t="s">
        <v>374</v>
      </c>
      <c r="B1" s="272" t="s">
        <v>214</v>
      </c>
      <c r="C1" s="272" t="s">
        <v>375</v>
      </c>
      <c r="D1" s="272" t="s">
        <v>376</v>
      </c>
      <c r="F1" s="273" t="s">
        <v>377</v>
      </c>
    </row>
    <row r="2" spans="1:6" x14ac:dyDescent="0.25">
      <c r="A2" s="274">
        <f ca="1">TODAY()</f>
        <v>43990</v>
      </c>
      <c r="B2" s="275" t="e">
        <f>('NOS Breakdown Chart'!K16:K17)</f>
        <v>#VALUE!</v>
      </c>
      <c r="C2" s="276">
        <f ca="1">SUMIF(DM_Data!CE:CE,'NOS Receipts'!A2,DM_Data!BZ:BZ)</f>
        <v>0</v>
      </c>
      <c r="D2" s="277">
        <f ca="1">SUMIF(DM_Data!CE:CE,'NOS Receipts'!A2,DM_Data!BY:BY)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WF Summary Chart</vt:lpstr>
      <vt:lpstr>Details-Products</vt:lpstr>
      <vt:lpstr>DM_Data</vt:lpstr>
      <vt:lpstr>NOS Breakdown Chart</vt:lpstr>
      <vt:lpstr>Ttl_Inv</vt:lpstr>
      <vt:lpstr>Info</vt:lpstr>
      <vt:lpstr>Additional Color Sizes Report</vt:lpstr>
      <vt:lpstr>NOS Receipts</vt:lpstr>
      <vt:lpstr>'NOS Breakdown Chart'!Print_Area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2019-04-23T14:02:37Z</cp:lastPrinted>
  <dcterms:created xsi:type="dcterms:W3CDTF">2016-03-28T15:55:22Z</dcterms:created>
  <dcterms:modified xsi:type="dcterms:W3CDTF">2020-06-09T00:40:12Z</dcterms:modified>
</cp:coreProperties>
</file>